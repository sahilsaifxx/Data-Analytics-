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0a93aaaafc8cf9/Desktop/sahil/"/>
    </mc:Choice>
  </mc:AlternateContent>
  <xr:revisionPtr revIDLastSave="0" documentId="8_{B0E4CDA8-BBDF-418E-83D2-84A500981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Analysis" sheetId="3" r:id="rId3"/>
    <sheet name="Read 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3" l="1"/>
  <c r="H24" i="3"/>
  <c r="H23" i="3"/>
  <c r="E23" i="3"/>
  <c r="H22" i="3"/>
  <c r="E22" i="3"/>
  <c r="H21" i="3"/>
  <c r="E21" i="3"/>
  <c r="H20" i="3"/>
  <c r="E20" i="3"/>
  <c r="V19" i="3"/>
  <c r="K19" i="3"/>
  <c r="H19" i="3"/>
  <c r="E19" i="3"/>
  <c r="V18" i="3"/>
  <c r="K18" i="3"/>
  <c r="H18" i="3"/>
  <c r="E18" i="3"/>
  <c r="X17" i="3"/>
  <c r="V17" i="3"/>
  <c r="Q17" i="3"/>
  <c r="K17" i="3"/>
  <c r="H17" i="3"/>
  <c r="E17" i="3"/>
  <c r="X16" i="3"/>
  <c r="V16" i="3"/>
  <c r="Q16" i="3"/>
  <c r="N16" i="3"/>
  <c r="K16" i="3"/>
  <c r="H16" i="3"/>
  <c r="E16" i="3"/>
  <c r="X15" i="3"/>
  <c r="V15" i="3"/>
  <c r="Q15" i="3"/>
  <c r="N15" i="3"/>
  <c r="K15" i="3"/>
  <c r="H15" i="3"/>
  <c r="E15" i="3"/>
  <c r="X14" i="3"/>
  <c r="V14" i="3"/>
  <c r="Q14" i="3"/>
  <c r="N14" i="3"/>
  <c r="K14" i="3"/>
  <c r="H14" i="3"/>
  <c r="E14" i="3"/>
  <c r="X13" i="3"/>
  <c r="V13" i="3"/>
  <c r="Q13" i="3"/>
  <c r="N13" i="3"/>
  <c r="K13" i="3"/>
  <c r="H13" i="3"/>
  <c r="E13" i="3"/>
  <c r="B13" i="3"/>
  <c r="X12" i="3"/>
  <c r="V12" i="3"/>
  <c r="Q12" i="3"/>
  <c r="N12" i="3"/>
  <c r="K12" i="3"/>
  <c r="H12" i="3"/>
  <c r="E12" i="3"/>
  <c r="B12" i="3"/>
  <c r="B8" i="3"/>
  <c r="B7" i="3"/>
  <c r="B6" i="3"/>
  <c r="D10" i="1" s="1"/>
  <c r="B5" i="3"/>
  <c r="A10" i="1" s="1"/>
  <c r="J10" i="1"/>
  <c r="G10" i="1"/>
</calcChain>
</file>

<file path=xl/sharedStrings.xml><?xml version="1.0" encoding="utf-8"?>
<sst xmlns="http://schemas.openxmlformats.org/spreadsheetml/2006/main" count="641" uniqueCount="222">
  <si>
    <t>NETFLIX CONTENT INTELLIGENCE</t>
  </si>
  <si>
    <t>FILTERS &amp; CONTROL PANEL</t>
  </si>
  <si>
    <t>Content Type</t>
  </si>
  <si>
    <t>All</t>
  </si>
  <si>
    <t>Rating</t>
  </si>
  <si>
    <t>SELECTED TITLES</t>
  </si>
  <si>
    <t>MOVIES</t>
  </si>
  <si>
    <t>TV SHOWS</t>
  </si>
  <si>
    <t>AVG MOVIE RUNTIME</t>
  </si>
  <si>
    <t>DATA STORY  •  The dashboard uses a 60-title Kaggle sample spanning releases from 2006 to 2019.</t>
  </si>
  <si>
    <t>CONTENT MIX</t>
  </si>
  <si>
    <t>TOP GENRES</t>
  </si>
  <si>
    <t>RATING MIX</t>
  </si>
  <si>
    <t>TOP COUNTRIES</t>
  </si>
  <si>
    <t>CONTENT ADDED BY YEAR</t>
  </si>
  <si>
    <t>MOVIE RUNTIME DISTRIBUTION</t>
  </si>
  <si>
    <t>SOURCE: Kaggle — Netflix Movies and TV Shows — Shivam Bansal
https://www.kaggle.com/datasets/shivamb/netflix-shows/data</t>
  </si>
  <si>
    <t>Show ID</t>
  </si>
  <si>
    <t>Type</t>
  </si>
  <si>
    <t>Title</t>
  </si>
  <si>
    <t>Country</t>
  </si>
  <si>
    <t>Date Added</t>
  </si>
  <si>
    <t>Release Year</t>
  </si>
  <si>
    <t>Duration</t>
  </si>
  <si>
    <t>Primary Genre</t>
  </si>
  <si>
    <t>Duration Value</t>
  </si>
  <si>
    <t>Year Added</t>
  </si>
  <si>
    <t>Added Month</t>
  </si>
  <si>
    <t>Duration Unit</t>
  </si>
  <si>
    <t>Release Decade</t>
  </si>
  <si>
    <t>Movie</t>
  </si>
  <si>
    <t>Norm of the North: King Sized Adventure</t>
  </si>
  <si>
    <t>United States</t>
  </si>
  <si>
    <t>TV-PG</t>
  </si>
  <si>
    <t>90 min</t>
  </si>
  <si>
    <t>Children &amp; Family Movies</t>
  </si>
  <si>
    <t>Sep</t>
  </si>
  <si>
    <t>Minutes</t>
  </si>
  <si>
    <t>Jandino: Whatever it Takes</t>
  </si>
  <si>
    <t>United Kingdom</t>
  </si>
  <si>
    <t>TV-MA</t>
  </si>
  <si>
    <t>94 min</t>
  </si>
  <si>
    <t>Stand-Up Comedy</t>
  </si>
  <si>
    <t>TV Show</t>
  </si>
  <si>
    <t>Transformers Prime</t>
  </si>
  <si>
    <t>TV-Y7-FV</t>
  </si>
  <si>
    <t>1 Season</t>
  </si>
  <si>
    <t>Kids' TV</t>
  </si>
  <si>
    <t>Seasons</t>
  </si>
  <si>
    <t>Transformers: Robots in Disguise</t>
  </si>
  <si>
    <t>TV-Y7</t>
  </si>
  <si>
    <t>#realityhigh</t>
  </si>
  <si>
    <t>TV-14</t>
  </si>
  <si>
    <t>99 min</t>
  </si>
  <si>
    <t>Comedies</t>
  </si>
  <si>
    <t>Apaches</t>
  </si>
  <si>
    <t>Spain</t>
  </si>
  <si>
    <t>Crime TV Shows</t>
  </si>
  <si>
    <t>Automata</t>
  </si>
  <si>
    <t>Bulgaria</t>
  </si>
  <si>
    <t>R</t>
  </si>
  <si>
    <t>110 min</t>
  </si>
  <si>
    <t>International Movies</t>
  </si>
  <si>
    <t>Fabrizio Copano: Solo pienso en mi</t>
  </si>
  <si>
    <t>Chile</t>
  </si>
  <si>
    <t>60 min</t>
  </si>
  <si>
    <t>Fire Chasers</t>
  </si>
  <si>
    <t>Docuseries</t>
  </si>
  <si>
    <t>Good People</t>
  </si>
  <si>
    <t>Action &amp; Adventure</t>
  </si>
  <si>
    <t>Joaquín Reyes: Una y no más</t>
  </si>
  <si>
    <t>Unknown</t>
  </si>
  <si>
    <t>78 min</t>
  </si>
  <si>
    <t>Kidnapping Mr. Heineken</t>
  </si>
  <si>
    <t>Netherlands</t>
  </si>
  <si>
    <t>95 min</t>
  </si>
  <si>
    <t>Krish Trish and Baltiboy</t>
  </si>
  <si>
    <t>58 min</t>
  </si>
  <si>
    <t>Krish Trish and Baltiboy: Battle of Wits</t>
  </si>
  <si>
    <t>62 min</t>
  </si>
  <si>
    <t>Krish Trish and Baltiboy: Best Friends Forever</t>
  </si>
  <si>
    <t>TV-Y</t>
  </si>
  <si>
    <t>65 min</t>
  </si>
  <si>
    <t>Krish Trish and Baltiboy: Comics of India</t>
  </si>
  <si>
    <t>61 min</t>
  </si>
  <si>
    <t>Krish Trish and Baltiboy: Oversmartness Never Pays</t>
  </si>
  <si>
    <t>Krish Trish and Baltiboy: Part II</t>
  </si>
  <si>
    <t>Krish Trish and Baltiboy: The Greatest Trick</t>
  </si>
  <si>
    <t>Love</t>
  </si>
  <si>
    <t>France</t>
  </si>
  <si>
    <t>NR</t>
  </si>
  <si>
    <t>135 min</t>
  </si>
  <si>
    <t>Cult Movies</t>
  </si>
  <si>
    <t>Manhattan Romance</t>
  </si>
  <si>
    <t>98 min</t>
  </si>
  <si>
    <t>Moonwalkers</t>
  </si>
  <si>
    <t>96 min</t>
  </si>
  <si>
    <t>Rolling Papers</t>
  </si>
  <si>
    <t>79 min</t>
  </si>
  <si>
    <t>Documentaries</t>
  </si>
  <si>
    <t>Stonehearst Asylum</t>
  </si>
  <si>
    <t>PG-13</t>
  </si>
  <si>
    <t>113 min</t>
  </si>
  <si>
    <t>Horror Movies</t>
  </si>
  <si>
    <t>The Runner</t>
  </si>
  <si>
    <t>Dramas</t>
  </si>
  <si>
    <t>6 Years</t>
  </si>
  <si>
    <t>80 min</t>
  </si>
  <si>
    <t>Castle of Stars</t>
  </si>
  <si>
    <t>International TV Shows</t>
  </si>
  <si>
    <t>City of Joy</t>
  </si>
  <si>
    <t>77 min</t>
  </si>
  <si>
    <t>First and Last</t>
  </si>
  <si>
    <t>Laddaland</t>
  </si>
  <si>
    <t>Thailand</t>
  </si>
  <si>
    <t>112 min</t>
  </si>
  <si>
    <t>Arsenio Hall: Smart &amp; Classy</t>
  </si>
  <si>
    <t>63 min</t>
  </si>
  <si>
    <t>Oct</t>
  </si>
  <si>
    <t>Shine On with Reese</t>
  </si>
  <si>
    <t>The Road to El Camino: Behind the Scenes of El Camino: A Breaking Bad Movie</t>
  </si>
  <si>
    <t>14 min</t>
  </si>
  <si>
    <t>Kings</t>
  </si>
  <si>
    <t>87 min</t>
  </si>
  <si>
    <t>Pup Star</t>
  </si>
  <si>
    <t>Canada</t>
  </si>
  <si>
    <t>G</t>
  </si>
  <si>
    <t>92 min</t>
  </si>
  <si>
    <t>A 3 Minute Hug</t>
  </si>
  <si>
    <t>Mexico</t>
  </si>
  <si>
    <t>28 min</t>
  </si>
  <si>
    <t>Little Miss Sumo</t>
  </si>
  <si>
    <t>TV-G</t>
  </si>
  <si>
    <t>20 min</t>
  </si>
  <si>
    <t>Equals</t>
  </si>
  <si>
    <t>102 min</t>
  </si>
  <si>
    <t>Pup Star: Better 2Gether</t>
  </si>
  <si>
    <t>PG</t>
  </si>
  <si>
    <t>93 min</t>
  </si>
  <si>
    <t>I Am the Pretty Thing That Lives in the House</t>
  </si>
  <si>
    <t>89 min</t>
  </si>
  <si>
    <t>Into the Inferno</t>
  </si>
  <si>
    <t>107 min</t>
  </si>
  <si>
    <t>The African Doctor</t>
  </si>
  <si>
    <t>They Are Everywhere</t>
  </si>
  <si>
    <t>Trailer Park Boys: Out of the Park: Europe</t>
  </si>
  <si>
    <t>West Coast</t>
  </si>
  <si>
    <t>81 min</t>
  </si>
  <si>
    <t>Wait, My Youth</t>
  </si>
  <si>
    <t>China</t>
  </si>
  <si>
    <t>14 Cameras</t>
  </si>
  <si>
    <t>Dragon Tiger Gate</t>
  </si>
  <si>
    <t>Hong Kong</t>
  </si>
  <si>
    <t>Beyond Stranger Things</t>
  </si>
  <si>
    <t>Stand-Up Comedy &amp; Talk Shows</t>
  </si>
  <si>
    <t>Joan Didion: The Center Will Not Hold</t>
  </si>
  <si>
    <t>7 años</t>
  </si>
  <si>
    <t>Manson Family Vacation</t>
  </si>
  <si>
    <t>85 min</t>
  </si>
  <si>
    <t>A Little Thing Called First Love</t>
  </si>
  <si>
    <t>The Last Whistle</t>
  </si>
  <si>
    <t>88 min</t>
  </si>
  <si>
    <t>Been So Long</t>
  </si>
  <si>
    <t>100 min</t>
  </si>
  <si>
    <t>Dovlatov</t>
  </si>
  <si>
    <t>Russia</t>
  </si>
  <si>
    <t>126 min</t>
  </si>
  <si>
    <t>Incoming</t>
  </si>
  <si>
    <t>Serbia</t>
  </si>
  <si>
    <t>Jefe</t>
  </si>
  <si>
    <t>Santo Cachón</t>
  </si>
  <si>
    <t>Colombia</t>
  </si>
  <si>
    <t>Shirkers</t>
  </si>
  <si>
    <t>97 min</t>
  </si>
  <si>
    <t>DASHBOARD ENGINE — FILTERED METRICS &amp; CHART DATA</t>
  </si>
  <si>
    <t>Formula-driven support tables for the interactive dashboard.</t>
  </si>
  <si>
    <t>Metric</t>
  </si>
  <si>
    <t>Value</t>
  </si>
  <si>
    <t>Selected Titles</t>
  </si>
  <si>
    <t>Movies</t>
  </si>
  <si>
    <t>TV Shows</t>
  </si>
  <si>
    <t>Avg Movie Runtime (min)</t>
  </si>
  <si>
    <t>Titles</t>
  </si>
  <si>
    <t>Movie Runtime</t>
  </si>
  <si>
    <t>Top Genres</t>
  </si>
  <si>
    <t>Top Countries</t>
  </si>
  <si>
    <t>&lt; 60 min</t>
  </si>
  <si>
    <t>60–89 min</t>
  </si>
  <si>
    <t>90–119 min</t>
  </si>
  <si>
    <t>120–149 min</t>
  </si>
  <si>
    <t>150–179 min</t>
  </si>
  <si>
    <t>180+ min</t>
  </si>
  <si>
    <t>India</t>
  </si>
  <si>
    <t>NETFLIX DASHBOARD — PROJECT NOTES</t>
  </si>
  <si>
    <t>Item</t>
  </si>
  <si>
    <t>Details</t>
  </si>
  <si>
    <t>Dataset</t>
  </si>
  <si>
    <t>Netflix Movies and TV Shows</t>
  </si>
  <si>
    <t>Primary source</t>
  </si>
  <si>
    <t>Kaggle — Shivam Bansal</t>
  </si>
  <si>
    <t>Source URL</t>
  </si>
  <si>
    <t>https://www.kaggle.com/datasets/shivamb/netflix-shows/data</t>
  </si>
  <si>
    <t>Records used</t>
  </si>
  <si>
    <t>60 title-level records</t>
  </si>
  <si>
    <t>Purpose</t>
  </si>
  <si>
    <t>Excel dashboard practice / portfolio project</t>
  </si>
  <si>
    <t>Feature</t>
  </si>
  <si>
    <t>Description</t>
  </si>
  <si>
    <t>Content Mix</t>
  </si>
  <si>
    <t>Movie vs TV Show composition</t>
  </si>
  <si>
    <t>Counts by Primary Genre</t>
  </si>
  <si>
    <t>Rating Mix</t>
  </si>
  <si>
    <t>Catalog distribution by rating</t>
  </si>
  <si>
    <t>Counts for major country categories</t>
  </si>
  <si>
    <t>Content Added by Year</t>
  </si>
  <si>
    <t>Titles added in the sample by year</t>
  </si>
  <si>
    <t>Runtime Distribution</t>
  </si>
  <si>
    <t>Movie duration buckets</t>
  </si>
  <si>
    <t>Interactive filters</t>
  </si>
  <si>
    <t>Content Type and Rating dropdowns</t>
  </si>
  <si>
    <t>Data sheet</t>
  </si>
  <si>
    <t>Cleaned and enriched Netflix title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</si>
</sst>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8">
    <font>
      <sz val="11"/>
      <name val="Carlito"/>
    </font>
    <font>
      <b/>
      <sz val="10"/>
      <color rgb="FFFFFFFF"/>
      <name val="Carlito"/>
    </font>
    <font>
      <sz val="10"/>
      <color rgb="FF111111"/>
      <name val="Carlito"/>
    </font>
    <font>
      <b/>
      <sz val="15"/>
      <color rgb="FFFFFFFF"/>
      <name val="Carlito"/>
    </font>
    <font>
      <sz val="10"/>
      <color rgb="FFD1D5DB"/>
      <name val="Carlito"/>
    </font>
    <font>
      <b/>
      <sz val="11"/>
      <color rgb="FFFFFFFF"/>
      <name val="Carlito"/>
    </font>
    <font>
      <b/>
      <sz val="11"/>
      <color rgb="FF111111"/>
      <name val="Carlito"/>
    </font>
    <font>
      <b/>
      <sz val="14"/>
      <color rgb="FFE50914"/>
      <name val="Carlito"/>
    </font>
    <font>
      <b/>
      <sz val="24"/>
      <color rgb="FFFFFFFF"/>
      <name val="Carlito"/>
    </font>
    <font>
      <b/>
      <sz val="11"/>
      <color rgb="FFE5E7EB"/>
      <name val="Carlito"/>
    </font>
    <font>
      <i/>
      <sz val="9"/>
      <color rgb="FF9CA3AF"/>
      <name val="Carlito"/>
    </font>
    <font>
      <b/>
      <sz val="9"/>
      <color rgb="FF6B7280"/>
      <name val="Carlito"/>
    </font>
    <font>
      <b/>
      <sz val="24"/>
      <color rgb="FFE50914"/>
      <name val="Carlito"/>
    </font>
    <font>
      <b/>
      <sz val="24"/>
      <color rgb="FFF59E0B"/>
      <name val="Carlito"/>
    </font>
    <font>
      <sz val="9"/>
      <color rgb="FFD1D5DB"/>
      <name val="Carlito"/>
    </font>
    <font>
      <sz val="8"/>
      <color rgb="FF9CA3AF"/>
      <name val="Carlito"/>
    </font>
    <font>
      <b/>
      <sz val="20"/>
      <color rgb="FFFFFFFF"/>
      <name val="Carlito"/>
    </font>
    <font>
      <sz val="11"/>
      <color rgb="FF1111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50914"/>
      </patternFill>
    </fill>
    <fill>
      <patternFill patternType="solid">
        <fgColor rgb="FF0B0B0C"/>
      </patternFill>
    </fill>
    <fill>
      <patternFill patternType="solid">
        <fgColor rgb="FF17181C"/>
      </patternFill>
    </fill>
    <fill>
      <patternFill patternType="solid">
        <fgColor rgb="FFF5F6F8"/>
      </patternFill>
    </fill>
    <fill>
      <patternFill patternType="solid">
        <fgColor rgb="FFFFF5F5"/>
      </patternFill>
    </fill>
    <fill>
      <patternFill patternType="solid">
        <fgColor rgb="FF24262B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0" fillId="3" borderId="0" xfId="0" applyFill="1"/>
    <xf numFmtId="0" fontId="5" fillId="2" borderId="0" xfId="0" applyFont="1" applyFill="1"/>
    <xf numFmtId="0" fontId="6" fillId="5" borderId="0" xfId="0" applyFont="1" applyFill="1"/>
    <xf numFmtId="1" fontId="7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0" fontId="9" fillId="7" borderId="0" xfId="0" applyFont="1" applyFill="1"/>
    <xf numFmtId="0" fontId="6" fillId="8" borderId="0" xfId="0" applyFont="1" applyFill="1" applyAlignment="1">
      <alignment horizontal="center"/>
    </xf>
    <xf numFmtId="0" fontId="17" fillId="8" borderId="0" xfId="0" applyFont="1" applyFill="1" applyAlignment="1">
      <alignment wrapText="1"/>
    </xf>
    <xf numFmtId="0" fontId="8" fillId="3" borderId="0" xfId="0" applyFont="1" applyFill="1" applyAlignment="1">
      <alignment horizontal="left" vertical="center"/>
    </xf>
    <xf numFmtId="0" fontId="4" fillId="3" borderId="0" xfId="0" applyFont="1" applyFill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10" fillId="4" borderId="0" xfId="0" applyFont="1" applyFill="1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1" fontId="12" fillId="8" borderId="0" xfId="0" applyNumberFormat="1" applyFont="1" applyFill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1" fontId="12" fillId="8" borderId="4" xfId="0" applyNumberFormat="1" applyFont="1" applyFill="1" applyBorder="1" applyAlignment="1">
      <alignment horizontal="center" vertical="center"/>
    </xf>
    <xf numFmtId="165" fontId="13" fillId="8" borderId="4" xfId="0" applyNumberFormat="1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top"/>
    </xf>
    <xf numFmtId="0" fontId="1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1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Titles</c:v>
          </c:tx>
          <c:cat>
            <c:strRef>
              <c:f>Analysis!$A$12:$A$13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Analysis!$B$12:$B$13</c:f>
              <c:numCache>
                <c:formatCode>General</c:formatCode>
                <c:ptCount val="2"/>
                <c:pt idx="0">
                  <c:v>49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A-44D2-B2E7-3154DD01C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Titles</c:v>
          </c:tx>
          <c:invertIfNegative val="1"/>
          <c:cat>
            <c:strRef>
              <c:f>Analysis!$U$12:$U$19</c:f>
              <c:strCache>
                <c:ptCount val="8"/>
                <c:pt idx="0">
                  <c:v>Children &amp; Family Movies</c:v>
                </c:pt>
                <c:pt idx="1">
                  <c:v>Comedies</c:v>
                </c:pt>
                <c:pt idx="2">
                  <c:v>Documentaries</c:v>
                </c:pt>
                <c:pt idx="3">
                  <c:v>Dramas</c:v>
                </c:pt>
                <c:pt idx="4">
                  <c:v>Action &amp; Adventure</c:v>
                </c:pt>
                <c:pt idx="5">
                  <c:v>Stand-Up Comedy</c:v>
                </c:pt>
                <c:pt idx="6">
                  <c:v>Horror Movies</c:v>
                </c:pt>
                <c:pt idx="7">
                  <c:v>International TV Shows</c:v>
                </c:pt>
              </c:strCache>
            </c:strRef>
          </c:cat>
          <c:val>
            <c:numRef>
              <c:f>Analysis!$V$12:$V$19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3-41C3-999F-4D5407E1B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Titles</c:v>
          </c:tx>
          <c:spPr>
            <a:solidFill>
              <a:srgbClr val="E50914"/>
            </a:solidFill>
          </c:spPr>
          <c:invertIfNegative val="1"/>
          <c:cat>
            <c:strRef>
              <c:f>Analysis!$D$12:$D$23</c:f>
              <c:strCache>
                <c:ptCount val="12"/>
                <c:pt idx="0">
                  <c:v>G</c:v>
                </c:pt>
                <c:pt idx="1">
                  <c:v>NR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  <c:pt idx="5">
                  <c:v>TV-14</c:v>
                </c:pt>
                <c:pt idx="6">
                  <c:v>TV-G</c:v>
                </c:pt>
                <c:pt idx="7">
                  <c:v>TV-MA</c:v>
                </c:pt>
                <c:pt idx="8">
                  <c:v>TV-PG</c:v>
                </c:pt>
                <c:pt idx="9">
                  <c:v>TV-Y</c:v>
                </c:pt>
                <c:pt idx="10">
                  <c:v>TV-Y7</c:v>
                </c:pt>
                <c:pt idx="11">
                  <c:v>TV-Y7-FV</c:v>
                </c:pt>
              </c:strCache>
            </c:strRef>
          </c:cat>
          <c:val>
            <c:numRef>
              <c:f>Analysis!$E$12:$E$23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10</c:v>
                </c:pt>
                <c:pt idx="6">
                  <c:v>2</c:v>
                </c:pt>
                <c:pt idx="7">
                  <c:v>19</c:v>
                </c:pt>
                <c:pt idx="8">
                  <c:v>5</c:v>
                </c:pt>
                <c:pt idx="9">
                  <c:v>1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449-478D-BD93-E7A72A4EC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Titles</c:v>
          </c:tx>
          <c:invertIfNegative val="1"/>
          <c:cat>
            <c:strRef>
              <c:f>Analysis!$W$12:$W$17</c:f>
              <c:strCache>
                <c:ptCount val="6"/>
                <c:pt idx="0">
                  <c:v>United States</c:v>
                </c:pt>
                <c:pt idx="1">
                  <c:v>France</c:v>
                </c:pt>
                <c:pt idx="2">
                  <c:v>Canada</c:v>
                </c:pt>
                <c:pt idx="3">
                  <c:v>United Kingdom</c:v>
                </c:pt>
                <c:pt idx="4">
                  <c:v>Spain</c:v>
                </c:pt>
                <c:pt idx="5">
                  <c:v>China</c:v>
                </c:pt>
              </c:strCache>
            </c:strRef>
          </c:cat>
          <c:val>
            <c:numRef>
              <c:f>Analysis!$X$12:$X$17</c:f>
              <c:numCache>
                <c:formatCode>General</c:formatCode>
                <c:ptCount val="6"/>
                <c:pt idx="0">
                  <c:v>23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C6B-A8E3-EE678352F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Titles</c:v>
          </c:tx>
          <c:spPr>
            <a:ln w="19050">
              <a:solidFill>
                <a:srgbClr val="E50914"/>
              </a:solidFill>
              <a:prstDash val="solid"/>
            </a:ln>
          </c:spPr>
          <c:marker>
            <c:symbol val="none"/>
          </c:marker>
          <c:cat>
            <c:numRef>
              <c:f>Analysis!$M$12:$M$16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Analysis!$N$12:$N$16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24</c:v>
                </c:pt>
                <c:pt idx="3">
                  <c:v>16</c:v>
                </c:pt>
                <c:pt idx="4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D8-4B1A-9555-B46EEE677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Titles</c:v>
          </c:tx>
          <c:spPr>
            <a:solidFill>
              <a:srgbClr val="111827"/>
            </a:solidFill>
          </c:spPr>
          <c:invertIfNegative val="1"/>
          <c:cat>
            <c:strRef>
              <c:f>Analysis!$P$12:$P$17</c:f>
              <c:strCache>
                <c:ptCount val="6"/>
                <c:pt idx="0">
                  <c:v>&lt; 60 min</c:v>
                </c:pt>
                <c:pt idx="1">
                  <c:v>60–89 min</c:v>
                </c:pt>
                <c:pt idx="2">
                  <c:v>90–119 min</c:v>
                </c:pt>
                <c:pt idx="3">
                  <c:v>120–149 min</c:v>
                </c:pt>
                <c:pt idx="4">
                  <c:v>150–179 min</c:v>
                </c:pt>
                <c:pt idx="5">
                  <c:v>180+ min</c:v>
                </c:pt>
              </c:strCache>
            </c:strRef>
          </c:cat>
          <c:val>
            <c:numRef>
              <c:f>Analysis!$Q$12:$Q$17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22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D09-4238-842C-B3A17D41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7</xdr:col>
      <xdr:colOff>0</xdr:colOff>
      <xdr:row>61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tflixTitlesTable" displayName="NetflixTitlesTable" ref="A1:N61" totalsRowShown="0">
  <tableColumns count="14">
    <tableColumn id="1" xr3:uid="{00000000-0010-0000-0000-000001000000}" name="Show ID"/>
    <tableColumn id="2" xr3:uid="{00000000-0010-0000-0000-000002000000}" name="Type"/>
    <tableColumn id="3" xr3:uid="{00000000-0010-0000-0000-000003000000}" name="Title"/>
    <tableColumn id="4" xr3:uid="{00000000-0010-0000-0000-000004000000}" name="Country"/>
    <tableColumn id="5" xr3:uid="{00000000-0010-0000-0000-000005000000}" name="Date Added"/>
    <tableColumn id="6" xr3:uid="{00000000-0010-0000-0000-000006000000}" name="Release Year"/>
    <tableColumn id="7" xr3:uid="{00000000-0010-0000-0000-000007000000}" name="Rating"/>
    <tableColumn id="8" xr3:uid="{00000000-0010-0000-0000-000008000000}" name="Duration"/>
    <tableColumn id="9" xr3:uid="{00000000-0010-0000-0000-000009000000}" name="Primary Genre"/>
    <tableColumn id="10" xr3:uid="{00000000-0010-0000-0000-00000A000000}" name="Duration Value"/>
    <tableColumn id="11" xr3:uid="{00000000-0010-0000-0000-00000B000000}" name="Year Added"/>
    <tableColumn id="12" xr3:uid="{00000000-0010-0000-0000-00000C000000}" name="Added Month"/>
    <tableColumn id="13" xr3:uid="{00000000-0010-0000-0000-00000D000000}" name="Duration Unit"/>
    <tableColumn id="14" xr3:uid="{00000000-0010-0000-0000-00000E000000}" name="Release Dec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43" workbookViewId="0">
      <selection activeCell="A3" sqref="A3:N3"/>
    </sheetView>
  </sheetViews>
  <sheetFormatPr defaultRowHeight="13.8"/>
  <cols>
    <col min="1" max="14" width="12" customWidth="1"/>
  </cols>
  <sheetData>
    <row r="1" spans="1:1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4.05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>
      <c r="A5" s="17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>
      <c r="A6" s="10" t="s">
        <v>2</v>
      </c>
      <c r="B6" s="11" t="s">
        <v>3</v>
      </c>
      <c r="C6" s="5"/>
      <c r="D6" s="10" t="s">
        <v>4</v>
      </c>
      <c r="E6" s="11" t="s">
        <v>3</v>
      </c>
      <c r="F6" s="5"/>
      <c r="G6" s="18"/>
      <c r="H6" s="18"/>
      <c r="I6" s="18"/>
      <c r="J6" s="18"/>
      <c r="K6" s="18"/>
      <c r="L6" s="18"/>
      <c r="M6" s="18"/>
      <c r="N6" s="18"/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19" t="s">
        <v>5</v>
      </c>
      <c r="B8" s="20"/>
      <c r="C8" s="21"/>
      <c r="D8" s="19" t="s">
        <v>6</v>
      </c>
      <c r="E8" s="20"/>
      <c r="F8" s="21"/>
      <c r="G8" s="19" t="s">
        <v>7</v>
      </c>
      <c r="H8" s="20"/>
      <c r="I8" s="21"/>
      <c r="J8" s="19" t="s">
        <v>8</v>
      </c>
      <c r="K8" s="20"/>
      <c r="L8" s="20"/>
      <c r="M8" s="20"/>
      <c r="N8" s="21"/>
    </row>
    <row r="9" spans="1:14">
      <c r="A9" s="22"/>
      <c r="B9" s="23"/>
      <c r="C9" s="24"/>
      <c r="D9" s="22"/>
      <c r="E9" s="23"/>
      <c r="F9" s="24"/>
      <c r="G9" s="22"/>
      <c r="H9" s="23"/>
      <c r="I9" s="24"/>
      <c r="J9" s="22"/>
      <c r="K9" s="23"/>
      <c r="L9" s="23"/>
      <c r="M9" s="23"/>
      <c r="N9" s="24"/>
    </row>
    <row r="10" spans="1:14">
      <c r="A10" s="25">
        <f>Analysis!B5</f>
        <v>60</v>
      </c>
      <c r="B10" s="26"/>
      <c r="C10" s="27"/>
      <c r="D10" s="32">
        <f>Analysis!B6</f>
        <v>49</v>
      </c>
      <c r="E10" s="28"/>
      <c r="F10" s="27"/>
      <c r="G10" s="32">
        <f>Analysis!B7</f>
        <v>11</v>
      </c>
      <c r="H10" s="28"/>
      <c r="I10" s="27"/>
      <c r="J10" s="33">
        <f>Analysis!B8</f>
        <v>84.183673469387756</v>
      </c>
      <c r="K10" s="34"/>
      <c r="L10" s="34"/>
      <c r="M10" s="34"/>
      <c r="N10" s="35"/>
    </row>
    <row r="11" spans="1:14">
      <c r="A11" s="25"/>
      <c r="B11" s="28"/>
      <c r="C11" s="27"/>
      <c r="D11" s="25"/>
      <c r="E11" s="28"/>
      <c r="F11" s="27"/>
      <c r="G11" s="25"/>
      <c r="H11" s="28"/>
      <c r="I11" s="27"/>
      <c r="J11" s="36"/>
      <c r="K11" s="34"/>
      <c r="L11" s="34"/>
      <c r="M11" s="34"/>
      <c r="N11" s="35"/>
    </row>
    <row r="12" spans="1:14">
      <c r="A12" s="29"/>
      <c r="B12" s="30"/>
      <c r="C12" s="31"/>
      <c r="D12" s="29"/>
      <c r="E12" s="30"/>
      <c r="F12" s="31"/>
      <c r="G12" s="29"/>
      <c r="H12" s="30"/>
      <c r="I12" s="31"/>
      <c r="J12" s="37"/>
      <c r="K12" s="38"/>
      <c r="L12" s="38"/>
      <c r="M12" s="38"/>
      <c r="N12" s="39"/>
    </row>
    <row r="13" spans="1:1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40" t="s">
        <v>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41" t="s">
        <v>10</v>
      </c>
      <c r="B16" s="41"/>
      <c r="C16" s="41"/>
      <c r="D16" s="41"/>
      <c r="E16" s="41"/>
      <c r="F16" s="41"/>
      <c r="G16" s="41"/>
      <c r="H16" s="41" t="s">
        <v>11</v>
      </c>
      <c r="I16" s="41"/>
      <c r="J16" s="41"/>
      <c r="K16" s="41"/>
      <c r="L16" s="41"/>
      <c r="M16" s="41"/>
      <c r="N16" s="41"/>
    </row>
    <row r="17" spans="1:1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1:1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1:1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1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1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1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1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1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1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1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41" t="s">
        <v>12</v>
      </c>
      <c r="B32" s="41"/>
      <c r="C32" s="41"/>
      <c r="D32" s="41"/>
      <c r="E32" s="41"/>
      <c r="F32" s="41"/>
      <c r="G32" s="41"/>
      <c r="H32" s="41" t="s">
        <v>13</v>
      </c>
      <c r="I32" s="41"/>
      <c r="J32" s="41"/>
      <c r="K32" s="41"/>
      <c r="L32" s="41"/>
      <c r="M32" s="41"/>
      <c r="N32" s="41"/>
    </row>
    <row r="33" spans="1:1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</row>
    <row r="34" spans="1:1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5" spans="1:1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1:1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</row>
    <row r="39" spans="1:1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1:1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</row>
    <row r="41" spans="1:1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</row>
    <row r="42" spans="1:1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</row>
    <row r="43" spans="1:1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spans="1:1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spans="1:1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</row>
    <row r="46" spans="1:1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</row>
    <row r="47" spans="1:1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>
      <c r="A48" s="41" t="s">
        <v>14</v>
      </c>
      <c r="B48" s="41"/>
      <c r="C48" s="41"/>
      <c r="D48" s="41"/>
      <c r="E48" s="41"/>
      <c r="F48" s="41"/>
      <c r="G48" s="41"/>
      <c r="H48" s="41" t="s">
        <v>15</v>
      </c>
      <c r="I48" s="41"/>
      <c r="J48" s="41"/>
      <c r="K48" s="41"/>
      <c r="L48" s="41"/>
      <c r="M48" s="41"/>
      <c r="N48" s="41"/>
    </row>
    <row r="49" spans="1:1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</row>
    <row r="50" spans="1:1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</row>
    <row r="51" spans="1:1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</row>
    <row r="52" spans="1:1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</row>
    <row r="53" spans="1:1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</row>
    <row r="54" spans="1:1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</row>
    <row r="55" spans="1:1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</row>
    <row r="56" spans="1:1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</row>
    <row r="57" spans="1:1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</row>
    <row r="58" spans="1:1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</row>
    <row r="59" spans="1:1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</row>
    <row r="61" spans="1:1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spans="1:14">
      <c r="A62" s="42" t="s">
        <v>16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</row>
    <row r="63" spans="1:14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</row>
  </sheetData>
  <mergeCells count="21">
    <mergeCell ref="A32:G46"/>
    <mergeCell ref="H32:N46"/>
    <mergeCell ref="A48:G61"/>
    <mergeCell ref="H48:N61"/>
    <mergeCell ref="A62:N63"/>
    <mergeCell ref="J8:N9"/>
    <mergeCell ref="J10:N12"/>
    <mergeCell ref="A14:N14"/>
    <mergeCell ref="A16:G30"/>
    <mergeCell ref="H16:N30"/>
    <mergeCell ref="A8:C9"/>
    <mergeCell ref="A10:C12"/>
    <mergeCell ref="D8:F9"/>
    <mergeCell ref="D10:F12"/>
    <mergeCell ref="G8:I9"/>
    <mergeCell ref="G10:I12"/>
    <mergeCell ref="A1:N2"/>
    <mergeCell ref="A3:N3"/>
    <mergeCell ref="A4:N4"/>
    <mergeCell ref="A5:N5"/>
    <mergeCell ref="G6:N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Analysis!$S$2:$S$4</xm:f>
          </x14:formula1>
          <xm:sqref>B6</xm:sqref>
        </x14:dataValidation>
        <x14:dataValidation type="list" xr:uid="{00000000-0002-0000-0000-000001000000}">
          <x14:formula1>
            <xm:f>Analysis!$T$2:$T$14</xm:f>
          </x14:formula1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opLeftCell="A52" workbookViewId="0"/>
  </sheetViews>
  <sheetFormatPr defaultRowHeight="13.8"/>
  <cols>
    <col min="1" max="2" width="12" customWidth="1"/>
    <col min="3" max="3" width="42" customWidth="1"/>
    <col min="4" max="4" width="20" customWidth="1"/>
    <col min="5" max="5" width="15" customWidth="1"/>
    <col min="6" max="7" width="12" customWidth="1"/>
    <col min="8" max="8" width="14" customWidth="1"/>
    <col min="9" max="9" width="26" customWidth="1"/>
    <col min="10" max="10" width="15" customWidth="1"/>
    <col min="11" max="12" width="12" customWidth="1"/>
    <col min="13" max="14" width="14" customWidth="1"/>
  </cols>
  <sheetData>
    <row r="1" spans="1:14" ht="24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4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>
      <c r="A2" s="2">
        <v>81145628</v>
      </c>
      <c r="B2" s="2" t="s">
        <v>30</v>
      </c>
      <c r="C2" s="2" t="s">
        <v>31</v>
      </c>
      <c r="D2" s="2" t="s">
        <v>32</v>
      </c>
      <c r="E2" s="3">
        <v>43717</v>
      </c>
      <c r="F2" s="4">
        <v>2019</v>
      </c>
      <c r="G2" s="2" t="s">
        <v>33</v>
      </c>
      <c r="H2" s="2" t="s">
        <v>34</v>
      </c>
      <c r="I2" s="2" t="s">
        <v>35</v>
      </c>
      <c r="J2" s="4">
        <v>90</v>
      </c>
      <c r="K2" s="4">
        <v>2019</v>
      </c>
      <c r="L2" s="2" t="s">
        <v>36</v>
      </c>
      <c r="M2" s="2" t="s">
        <v>37</v>
      </c>
      <c r="N2" s="4">
        <v>2010</v>
      </c>
    </row>
    <row r="3" spans="1:14">
      <c r="A3" s="2">
        <v>80117401</v>
      </c>
      <c r="B3" s="2" t="s">
        <v>30</v>
      </c>
      <c r="C3" s="2" t="s">
        <v>38</v>
      </c>
      <c r="D3" s="2" t="s">
        <v>39</v>
      </c>
      <c r="E3" s="3">
        <v>42622</v>
      </c>
      <c r="F3" s="4">
        <v>2016</v>
      </c>
      <c r="G3" s="2" t="s">
        <v>40</v>
      </c>
      <c r="H3" s="2" t="s">
        <v>41</v>
      </c>
      <c r="I3" s="2" t="s">
        <v>42</v>
      </c>
      <c r="J3" s="4">
        <v>94</v>
      </c>
      <c r="K3" s="4">
        <v>2016</v>
      </c>
      <c r="L3" s="2" t="s">
        <v>36</v>
      </c>
      <c r="M3" s="2" t="s">
        <v>37</v>
      </c>
      <c r="N3" s="4">
        <v>2010</v>
      </c>
    </row>
    <row r="4" spans="1:14">
      <c r="A4" s="2">
        <v>70234439</v>
      </c>
      <c r="B4" s="2" t="s">
        <v>43</v>
      </c>
      <c r="C4" s="2" t="s">
        <v>44</v>
      </c>
      <c r="D4" s="2" t="s">
        <v>32</v>
      </c>
      <c r="E4" s="3">
        <v>43351</v>
      </c>
      <c r="F4" s="4">
        <v>2013</v>
      </c>
      <c r="G4" s="2" t="s">
        <v>45</v>
      </c>
      <c r="H4" s="2" t="s">
        <v>46</v>
      </c>
      <c r="I4" s="2" t="s">
        <v>47</v>
      </c>
      <c r="J4" s="4">
        <v>1</v>
      </c>
      <c r="K4" s="4">
        <v>2018</v>
      </c>
      <c r="L4" s="2" t="s">
        <v>36</v>
      </c>
      <c r="M4" s="2" t="s">
        <v>48</v>
      </c>
      <c r="N4" s="4">
        <v>2010</v>
      </c>
    </row>
    <row r="5" spans="1:14">
      <c r="A5" s="2">
        <v>80058654</v>
      </c>
      <c r="B5" s="2" t="s">
        <v>43</v>
      </c>
      <c r="C5" s="2" t="s">
        <v>49</v>
      </c>
      <c r="D5" s="2" t="s">
        <v>32</v>
      </c>
      <c r="E5" s="3">
        <v>43351</v>
      </c>
      <c r="F5" s="4">
        <v>2016</v>
      </c>
      <c r="G5" s="2" t="s">
        <v>50</v>
      </c>
      <c r="H5" s="2" t="s">
        <v>46</v>
      </c>
      <c r="I5" s="2" t="s">
        <v>47</v>
      </c>
      <c r="J5" s="4">
        <v>1</v>
      </c>
      <c r="K5" s="4">
        <v>2018</v>
      </c>
      <c r="L5" s="2" t="s">
        <v>36</v>
      </c>
      <c r="M5" s="2" t="s">
        <v>48</v>
      </c>
      <c r="N5" s="4">
        <v>2010</v>
      </c>
    </row>
    <row r="6" spans="1:14">
      <c r="A6" s="2">
        <v>80125979</v>
      </c>
      <c r="B6" s="2" t="s">
        <v>30</v>
      </c>
      <c r="C6" s="2" t="s">
        <v>51</v>
      </c>
      <c r="D6" s="2" t="s">
        <v>32</v>
      </c>
      <c r="E6" s="3">
        <v>42986</v>
      </c>
      <c r="F6" s="4">
        <v>2017</v>
      </c>
      <c r="G6" s="2" t="s">
        <v>52</v>
      </c>
      <c r="H6" s="2" t="s">
        <v>53</v>
      </c>
      <c r="I6" s="2" t="s">
        <v>54</v>
      </c>
      <c r="J6" s="4">
        <v>99</v>
      </c>
      <c r="K6" s="4">
        <v>2017</v>
      </c>
      <c r="L6" s="2" t="s">
        <v>36</v>
      </c>
      <c r="M6" s="2" t="s">
        <v>37</v>
      </c>
      <c r="N6" s="4">
        <v>2010</v>
      </c>
    </row>
    <row r="7" spans="1:14">
      <c r="A7" s="2">
        <v>80163890</v>
      </c>
      <c r="B7" s="2" t="s">
        <v>43</v>
      </c>
      <c r="C7" s="2" t="s">
        <v>55</v>
      </c>
      <c r="D7" s="2" t="s">
        <v>56</v>
      </c>
      <c r="E7" s="3">
        <v>42986</v>
      </c>
      <c r="F7" s="4">
        <v>2016</v>
      </c>
      <c r="G7" s="2" t="s">
        <v>40</v>
      </c>
      <c r="H7" s="2" t="s">
        <v>46</v>
      </c>
      <c r="I7" s="2" t="s">
        <v>57</v>
      </c>
      <c r="J7" s="4">
        <v>1</v>
      </c>
      <c r="K7" s="4">
        <v>2017</v>
      </c>
      <c r="L7" s="2" t="s">
        <v>36</v>
      </c>
      <c r="M7" s="2" t="s">
        <v>48</v>
      </c>
      <c r="N7" s="4">
        <v>2010</v>
      </c>
    </row>
    <row r="8" spans="1:14">
      <c r="A8" s="2">
        <v>70304989</v>
      </c>
      <c r="B8" s="2" t="s">
        <v>30</v>
      </c>
      <c r="C8" s="2" t="s">
        <v>58</v>
      </c>
      <c r="D8" s="2" t="s">
        <v>59</v>
      </c>
      <c r="E8" s="3">
        <v>42986</v>
      </c>
      <c r="F8" s="4">
        <v>2014</v>
      </c>
      <c r="G8" s="2" t="s">
        <v>60</v>
      </c>
      <c r="H8" s="2" t="s">
        <v>61</v>
      </c>
      <c r="I8" s="2" t="s">
        <v>62</v>
      </c>
      <c r="J8" s="4">
        <v>110</v>
      </c>
      <c r="K8" s="4">
        <v>2017</v>
      </c>
      <c r="L8" s="2" t="s">
        <v>36</v>
      </c>
      <c r="M8" s="2" t="s">
        <v>37</v>
      </c>
      <c r="N8" s="4">
        <v>2010</v>
      </c>
    </row>
    <row r="9" spans="1:14">
      <c r="A9" s="2">
        <v>80164077</v>
      </c>
      <c r="B9" s="2" t="s">
        <v>30</v>
      </c>
      <c r="C9" s="2" t="s">
        <v>63</v>
      </c>
      <c r="D9" s="2" t="s">
        <v>64</v>
      </c>
      <c r="E9" s="3">
        <v>42986</v>
      </c>
      <c r="F9" s="4">
        <v>2017</v>
      </c>
      <c r="G9" s="2" t="s">
        <v>40</v>
      </c>
      <c r="H9" s="2" t="s">
        <v>65</v>
      </c>
      <c r="I9" s="2" t="s">
        <v>42</v>
      </c>
      <c r="J9" s="4">
        <v>60</v>
      </c>
      <c r="K9" s="4">
        <v>2017</v>
      </c>
      <c r="L9" s="2" t="s">
        <v>36</v>
      </c>
      <c r="M9" s="2" t="s">
        <v>37</v>
      </c>
      <c r="N9" s="4">
        <v>2010</v>
      </c>
    </row>
    <row r="10" spans="1:14">
      <c r="A10" s="2">
        <v>80117902</v>
      </c>
      <c r="B10" s="2" t="s">
        <v>43</v>
      </c>
      <c r="C10" s="2" t="s">
        <v>66</v>
      </c>
      <c r="D10" s="2" t="s">
        <v>32</v>
      </c>
      <c r="E10" s="3">
        <v>42986</v>
      </c>
      <c r="F10" s="4">
        <v>2017</v>
      </c>
      <c r="G10" s="2" t="s">
        <v>40</v>
      </c>
      <c r="H10" s="2" t="s">
        <v>46</v>
      </c>
      <c r="I10" s="2" t="s">
        <v>67</v>
      </c>
      <c r="J10" s="4">
        <v>1</v>
      </c>
      <c r="K10" s="4">
        <v>2017</v>
      </c>
      <c r="L10" s="2" t="s">
        <v>36</v>
      </c>
      <c r="M10" s="2" t="s">
        <v>48</v>
      </c>
      <c r="N10" s="4">
        <v>2010</v>
      </c>
    </row>
    <row r="11" spans="1:14">
      <c r="A11" s="2">
        <v>70304990</v>
      </c>
      <c r="B11" s="2" t="s">
        <v>30</v>
      </c>
      <c r="C11" s="2" t="s">
        <v>68</v>
      </c>
      <c r="D11" s="2" t="s">
        <v>32</v>
      </c>
      <c r="E11" s="3">
        <v>42986</v>
      </c>
      <c r="F11" s="4">
        <v>2014</v>
      </c>
      <c r="G11" s="2" t="s">
        <v>60</v>
      </c>
      <c r="H11" s="2" t="s">
        <v>34</v>
      </c>
      <c r="I11" s="2" t="s">
        <v>69</v>
      </c>
      <c r="J11" s="4">
        <v>90</v>
      </c>
      <c r="K11" s="4">
        <v>2017</v>
      </c>
      <c r="L11" s="2" t="s">
        <v>36</v>
      </c>
      <c r="M11" s="2" t="s">
        <v>37</v>
      </c>
      <c r="N11" s="4">
        <v>2010</v>
      </c>
    </row>
    <row r="12" spans="1:14">
      <c r="A12" s="2">
        <v>80169755</v>
      </c>
      <c r="B12" s="2" t="s">
        <v>30</v>
      </c>
      <c r="C12" s="2" t="s">
        <v>70</v>
      </c>
      <c r="D12" s="2" t="s">
        <v>71</v>
      </c>
      <c r="E12" s="3">
        <v>42986</v>
      </c>
      <c r="F12" s="4">
        <v>2017</v>
      </c>
      <c r="G12" s="2" t="s">
        <v>40</v>
      </c>
      <c r="H12" s="2" t="s">
        <v>72</v>
      </c>
      <c r="I12" s="2" t="s">
        <v>42</v>
      </c>
      <c r="J12" s="4">
        <v>78</v>
      </c>
      <c r="K12" s="4">
        <v>2017</v>
      </c>
      <c r="L12" s="2" t="s">
        <v>36</v>
      </c>
      <c r="M12" s="2" t="s">
        <v>37</v>
      </c>
      <c r="N12" s="4">
        <v>2010</v>
      </c>
    </row>
    <row r="13" spans="1:14">
      <c r="A13" s="2">
        <v>70299204</v>
      </c>
      <c r="B13" s="2" t="s">
        <v>30</v>
      </c>
      <c r="C13" s="2" t="s">
        <v>73</v>
      </c>
      <c r="D13" s="2" t="s">
        <v>74</v>
      </c>
      <c r="E13" s="3">
        <v>42986</v>
      </c>
      <c r="F13" s="4">
        <v>2015</v>
      </c>
      <c r="G13" s="2" t="s">
        <v>60</v>
      </c>
      <c r="H13" s="2" t="s">
        <v>75</v>
      </c>
      <c r="I13" s="2" t="s">
        <v>69</v>
      </c>
      <c r="J13" s="4">
        <v>95</v>
      </c>
      <c r="K13" s="4">
        <v>2017</v>
      </c>
      <c r="L13" s="2" t="s">
        <v>36</v>
      </c>
      <c r="M13" s="2" t="s">
        <v>37</v>
      </c>
      <c r="N13" s="4">
        <v>2010</v>
      </c>
    </row>
    <row r="14" spans="1:14">
      <c r="A14" s="2">
        <v>80182480</v>
      </c>
      <c r="B14" s="2" t="s">
        <v>30</v>
      </c>
      <c r="C14" s="2" t="s">
        <v>76</v>
      </c>
      <c r="D14" s="2" t="s">
        <v>71</v>
      </c>
      <c r="E14" s="3">
        <v>42986</v>
      </c>
      <c r="F14" s="4">
        <v>2009</v>
      </c>
      <c r="G14" s="2" t="s">
        <v>50</v>
      </c>
      <c r="H14" s="2" t="s">
        <v>77</v>
      </c>
      <c r="I14" s="2" t="s">
        <v>35</v>
      </c>
      <c r="J14" s="4">
        <v>58</v>
      </c>
      <c r="K14" s="4">
        <v>2017</v>
      </c>
      <c r="L14" s="2" t="s">
        <v>36</v>
      </c>
      <c r="M14" s="2" t="s">
        <v>37</v>
      </c>
      <c r="N14" s="4">
        <v>2000</v>
      </c>
    </row>
    <row r="15" spans="1:14">
      <c r="A15" s="2">
        <v>80182483</v>
      </c>
      <c r="B15" s="2" t="s">
        <v>30</v>
      </c>
      <c r="C15" s="2" t="s">
        <v>78</v>
      </c>
      <c r="D15" s="2" t="s">
        <v>71</v>
      </c>
      <c r="E15" s="3">
        <v>42986</v>
      </c>
      <c r="F15" s="4">
        <v>2013</v>
      </c>
      <c r="G15" s="2" t="s">
        <v>50</v>
      </c>
      <c r="H15" s="2" t="s">
        <v>79</v>
      </c>
      <c r="I15" s="2" t="s">
        <v>35</v>
      </c>
      <c r="J15" s="4">
        <v>62</v>
      </c>
      <c r="K15" s="4">
        <v>2017</v>
      </c>
      <c r="L15" s="2" t="s">
        <v>36</v>
      </c>
      <c r="M15" s="2" t="s">
        <v>37</v>
      </c>
      <c r="N15" s="4">
        <v>2010</v>
      </c>
    </row>
    <row r="16" spans="1:14">
      <c r="A16" s="2">
        <v>80182596</v>
      </c>
      <c r="B16" s="2" t="s">
        <v>30</v>
      </c>
      <c r="C16" s="2" t="s">
        <v>80</v>
      </c>
      <c r="D16" s="2" t="s">
        <v>71</v>
      </c>
      <c r="E16" s="3">
        <v>42986</v>
      </c>
      <c r="F16" s="4">
        <v>2016</v>
      </c>
      <c r="G16" s="2" t="s">
        <v>81</v>
      </c>
      <c r="H16" s="2" t="s">
        <v>82</v>
      </c>
      <c r="I16" s="2" t="s">
        <v>35</v>
      </c>
      <c r="J16" s="4">
        <v>65</v>
      </c>
      <c r="K16" s="4">
        <v>2017</v>
      </c>
      <c r="L16" s="2" t="s">
        <v>36</v>
      </c>
      <c r="M16" s="2" t="s">
        <v>37</v>
      </c>
      <c r="N16" s="4">
        <v>2010</v>
      </c>
    </row>
    <row r="17" spans="1:14">
      <c r="A17" s="2">
        <v>80182482</v>
      </c>
      <c r="B17" s="2" t="s">
        <v>30</v>
      </c>
      <c r="C17" s="2" t="s">
        <v>83</v>
      </c>
      <c r="D17" s="2" t="s">
        <v>71</v>
      </c>
      <c r="E17" s="3">
        <v>42986</v>
      </c>
      <c r="F17" s="4">
        <v>2012</v>
      </c>
      <c r="G17" s="2" t="s">
        <v>50</v>
      </c>
      <c r="H17" s="2" t="s">
        <v>84</v>
      </c>
      <c r="I17" s="2" t="s">
        <v>35</v>
      </c>
      <c r="J17" s="4">
        <v>61</v>
      </c>
      <c r="K17" s="4">
        <v>2017</v>
      </c>
      <c r="L17" s="2" t="s">
        <v>36</v>
      </c>
      <c r="M17" s="2" t="s">
        <v>37</v>
      </c>
      <c r="N17" s="4">
        <v>2010</v>
      </c>
    </row>
    <row r="18" spans="1:14">
      <c r="A18" s="2">
        <v>80182597</v>
      </c>
      <c r="B18" s="2" t="s">
        <v>30</v>
      </c>
      <c r="C18" s="2" t="s">
        <v>85</v>
      </c>
      <c r="D18" s="2" t="s">
        <v>71</v>
      </c>
      <c r="E18" s="3">
        <v>42986</v>
      </c>
      <c r="F18" s="4">
        <v>2017</v>
      </c>
      <c r="G18" s="2" t="s">
        <v>50</v>
      </c>
      <c r="H18" s="2" t="s">
        <v>82</v>
      </c>
      <c r="I18" s="2" t="s">
        <v>35</v>
      </c>
      <c r="J18" s="4">
        <v>65</v>
      </c>
      <c r="K18" s="4">
        <v>2017</v>
      </c>
      <c r="L18" s="2" t="s">
        <v>36</v>
      </c>
      <c r="M18" s="2" t="s">
        <v>37</v>
      </c>
      <c r="N18" s="4">
        <v>2010</v>
      </c>
    </row>
    <row r="19" spans="1:14">
      <c r="A19" s="2">
        <v>80182481</v>
      </c>
      <c r="B19" s="2" t="s">
        <v>30</v>
      </c>
      <c r="C19" s="2" t="s">
        <v>86</v>
      </c>
      <c r="D19" s="2" t="s">
        <v>71</v>
      </c>
      <c r="E19" s="3">
        <v>42986</v>
      </c>
      <c r="F19" s="4">
        <v>2010</v>
      </c>
      <c r="G19" s="2" t="s">
        <v>50</v>
      </c>
      <c r="H19" s="2" t="s">
        <v>77</v>
      </c>
      <c r="I19" s="2" t="s">
        <v>35</v>
      </c>
      <c r="J19" s="4">
        <v>58</v>
      </c>
      <c r="K19" s="4">
        <v>2017</v>
      </c>
      <c r="L19" s="2" t="s">
        <v>36</v>
      </c>
      <c r="M19" s="2" t="s">
        <v>37</v>
      </c>
      <c r="N19" s="4">
        <v>2010</v>
      </c>
    </row>
    <row r="20" spans="1:14">
      <c r="A20" s="2">
        <v>80182621</v>
      </c>
      <c r="B20" s="2" t="s">
        <v>30</v>
      </c>
      <c r="C20" s="2" t="s">
        <v>87</v>
      </c>
      <c r="D20" s="2" t="s">
        <v>71</v>
      </c>
      <c r="E20" s="3">
        <v>42986</v>
      </c>
      <c r="F20" s="4">
        <v>2013</v>
      </c>
      <c r="G20" s="2" t="s">
        <v>50</v>
      </c>
      <c r="H20" s="2" t="s">
        <v>65</v>
      </c>
      <c r="I20" s="2" t="s">
        <v>35</v>
      </c>
      <c r="J20" s="4">
        <v>60</v>
      </c>
      <c r="K20" s="4">
        <v>2017</v>
      </c>
      <c r="L20" s="2" t="s">
        <v>36</v>
      </c>
      <c r="M20" s="2" t="s">
        <v>37</v>
      </c>
      <c r="N20" s="4">
        <v>2010</v>
      </c>
    </row>
    <row r="21" spans="1:14">
      <c r="A21" s="2">
        <v>80057969</v>
      </c>
      <c r="B21" s="2" t="s">
        <v>30</v>
      </c>
      <c r="C21" s="2" t="s">
        <v>88</v>
      </c>
      <c r="D21" s="2" t="s">
        <v>89</v>
      </c>
      <c r="E21" s="3">
        <v>42986</v>
      </c>
      <c r="F21" s="4">
        <v>2015</v>
      </c>
      <c r="G21" s="2" t="s">
        <v>90</v>
      </c>
      <c r="H21" s="2" t="s">
        <v>91</v>
      </c>
      <c r="I21" s="2" t="s">
        <v>92</v>
      </c>
      <c r="J21" s="4">
        <v>135</v>
      </c>
      <c r="K21" s="4">
        <v>2017</v>
      </c>
      <c r="L21" s="2" t="s">
        <v>36</v>
      </c>
      <c r="M21" s="2" t="s">
        <v>37</v>
      </c>
      <c r="N21" s="4">
        <v>2010</v>
      </c>
    </row>
    <row r="22" spans="1:14">
      <c r="A22" s="2">
        <v>80060297</v>
      </c>
      <c r="B22" s="2" t="s">
        <v>30</v>
      </c>
      <c r="C22" s="2" t="s">
        <v>93</v>
      </c>
      <c r="D22" s="2" t="s">
        <v>32</v>
      </c>
      <c r="E22" s="3">
        <v>42986</v>
      </c>
      <c r="F22" s="4">
        <v>2014</v>
      </c>
      <c r="G22" s="2" t="s">
        <v>52</v>
      </c>
      <c r="H22" s="2" t="s">
        <v>94</v>
      </c>
      <c r="I22" s="2" t="s">
        <v>54</v>
      </c>
      <c r="J22" s="4">
        <v>98</v>
      </c>
      <c r="K22" s="4">
        <v>2017</v>
      </c>
      <c r="L22" s="2" t="s">
        <v>36</v>
      </c>
      <c r="M22" s="2" t="s">
        <v>37</v>
      </c>
      <c r="N22" s="4">
        <v>2010</v>
      </c>
    </row>
    <row r="23" spans="1:14">
      <c r="A23" s="2">
        <v>80046728</v>
      </c>
      <c r="B23" s="2" t="s">
        <v>30</v>
      </c>
      <c r="C23" s="2" t="s">
        <v>95</v>
      </c>
      <c r="D23" s="2" t="s">
        <v>89</v>
      </c>
      <c r="E23" s="3">
        <v>42986</v>
      </c>
      <c r="F23" s="4">
        <v>2015</v>
      </c>
      <c r="G23" s="2" t="s">
        <v>60</v>
      </c>
      <c r="H23" s="2" t="s">
        <v>96</v>
      </c>
      <c r="I23" s="2" t="s">
        <v>69</v>
      </c>
      <c r="J23" s="4">
        <v>96</v>
      </c>
      <c r="K23" s="4">
        <v>2017</v>
      </c>
      <c r="L23" s="2" t="s">
        <v>36</v>
      </c>
      <c r="M23" s="2" t="s">
        <v>37</v>
      </c>
      <c r="N23" s="4">
        <v>2010</v>
      </c>
    </row>
    <row r="24" spans="1:14">
      <c r="A24" s="2">
        <v>80046727</v>
      </c>
      <c r="B24" s="2" t="s">
        <v>30</v>
      </c>
      <c r="C24" s="2" t="s">
        <v>97</v>
      </c>
      <c r="D24" s="2" t="s">
        <v>32</v>
      </c>
      <c r="E24" s="3">
        <v>42986</v>
      </c>
      <c r="F24" s="4">
        <v>2015</v>
      </c>
      <c r="G24" s="2" t="s">
        <v>40</v>
      </c>
      <c r="H24" s="2" t="s">
        <v>98</v>
      </c>
      <c r="I24" s="2" t="s">
        <v>99</v>
      </c>
      <c r="J24" s="4">
        <v>79</v>
      </c>
      <c r="K24" s="4">
        <v>2017</v>
      </c>
      <c r="L24" s="2" t="s">
        <v>36</v>
      </c>
      <c r="M24" s="2" t="s">
        <v>37</v>
      </c>
      <c r="N24" s="4">
        <v>2010</v>
      </c>
    </row>
    <row r="25" spans="1:14">
      <c r="A25" s="2">
        <v>70304988</v>
      </c>
      <c r="B25" s="2" t="s">
        <v>30</v>
      </c>
      <c r="C25" s="2" t="s">
        <v>100</v>
      </c>
      <c r="D25" s="2" t="s">
        <v>32</v>
      </c>
      <c r="E25" s="3">
        <v>42986</v>
      </c>
      <c r="F25" s="4">
        <v>2014</v>
      </c>
      <c r="G25" s="2" t="s">
        <v>101</v>
      </c>
      <c r="H25" s="2" t="s">
        <v>102</v>
      </c>
      <c r="I25" s="2" t="s">
        <v>103</v>
      </c>
      <c r="J25" s="4">
        <v>113</v>
      </c>
      <c r="K25" s="4">
        <v>2017</v>
      </c>
      <c r="L25" s="2" t="s">
        <v>36</v>
      </c>
      <c r="M25" s="2" t="s">
        <v>37</v>
      </c>
      <c r="N25" s="4">
        <v>2010</v>
      </c>
    </row>
    <row r="26" spans="1:14">
      <c r="A26" s="2">
        <v>80057700</v>
      </c>
      <c r="B26" s="2" t="s">
        <v>30</v>
      </c>
      <c r="C26" s="2" t="s">
        <v>104</v>
      </c>
      <c r="D26" s="2" t="s">
        <v>32</v>
      </c>
      <c r="E26" s="3">
        <v>42986</v>
      </c>
      <c r="F26" s="4">
        <v>2015</v>
      </c>
      <c r="G26" s="2" t="s">
        <v>60</v>
      </c>
      <c r="H26" s="2" t="s">
        <v>34</v>
      </c>
      <c r="I26" s="2" t="s">
        <v>105</v>
      </c>
      <c r="J26" s="4">
        <v>90</v>
      </c>
      <c r="K26" s="4">
        <v>2017</v>
      </c>
      <c r="L26" s="2" t="s">
        <v>36</v>
      </c>
      <c r="M26" s="2" t="s">
        <v>37</v>
      </c>
      <c r="N26" s="4">
        <v>2010</v>
      </c>
    </row>
    <row r="27" spans="1:14">
      <c r="A27" s="2">
        <v>80045922</v>
      </c>
      <c r="B27" s="2" t="s">
        <v>30</v>
      </c>
      <c r="C27" s="2" t="s">
        <v>106</v>
      </c>
      <c r="D27" s="2" t="s">
        <v>32</v>
      </c>
      <c r="E27" s="3">
        <v>42255</v>
      </c>
      <c r="F27" s="4">
        <v>2015</v>
      </c>
      <c r="G27" s="2" t="s">
        <v>90</v>
      </c>
      <c r="H27" s="2" t="s">
        <v>107</v>
      </c>
      <c r="I27" s="2" t="s">
        <v>105</v>
      </c>
      <c r="J27" s="4">
        <v>80</v>
      </c>
      <c r="K27" s="4">
        <v>2015</v>
      </c>
      <c r="L27" s="2" t="s">
        <v>36</v>
      </c>
      <c r="M27" s="2" t="s">
        <v>37</v>
      </c>
      <c r="N27" s="4">
        <v>2010</v>
      </c>
    </row>
    <row r="28" spans="1:14">
      <c r="A28" s="2">
        <v>80244601</v>
      </c>
      <c r="B28" s="2" t="s">
        <v>43</v>
      </c>
      <c r="C28" s="2" t="s">
        <v>108</v>
      </c>
      <c r="D28" s="2" t="s">
        <v>71</v>
      </c>
      <c r="E28" s="3">
        <v>43350</v>
      </c>
      <c r="F28" s="4">
        <v>2015</v>
      </c>
      <c r="G28" s="2" t="s">
        <v>52</v>
      </c>
      <c r="H28" s="2" t="s">
        <v>46</v>
      </c>
      <c r="I28" s="2" t="s">
        <v>109</v>
      </c>
      <c r="J28" s="4">
        <v>1</v>
      </c>
      <c r="K28" s="4">
        <v>2018</v>
      </c>
      <c r="L28" s="2" t="s">
        <v>36</v>
      </c>
      <c r="M28" s="2" t="s">
        <v>48</v>
      </c>
      <c r="N28" s="4">
        <v>2010</v>
      </c>
    </row>
    <row r="29" spans="1:14">
      <c r="A29" s="2">
        <v>80203094</v>
      </c>
      <c r="B29" s="2" t="s">
        <v>30</v>
      </c>
      <c r="C29" s="2" t="s">
        <v>110</v>
      </c>
      <c r="D29" s="2" t="s">
        <v>32</v>
      </c>
      <c r="E29" s="3">
        <v>43350</v>
      </c>
      <c r="F29" s="4">
        <v>2018</v>
      </c>
      <c r="G29" s="2" t="s">
        <v>40</v>
      </c>
      <c r="H29" s="2" t="s">
        <v>111</v>
      </c>
      <c r="I29" s="2" t="s">
        <v>99</v>
      </c>
      <c r="J29" s="4">
        <v>77</v>
      </c>
      <c r="K29" s="4">
        <v>2018</v>
      </c>
      <c r="L29" s="2" t="s">
        <v>36</v>
      </c>
      <c r="M29" s="2" t="s">
        <v>37</v>
      </c>
      <c r="N29" s="4">
        <v>2010</v>
      </c>
    </row>
    <row r="30" spans="1:14">
      <c r="A30" s="2">
        <v>80190843</v>
      </c>
      <c r="B30" s="2" t="s">
        <v>43</v>
      </c>
      <c r="C30" s="2" t="s">
        <v>112</v>
      </c>
      <c r="D30" s="2" t="s">
        <v>32</v>
      </c>
      <c r="E30" s="3">
        <v>43350</v>
      </c>
      <c r="F30" s="4">
        <v>2018</v>
      </c>
      <c r="G30" s="2" t="s">
        <v>40</v>
      </c>
      <c r="H30" s="2" t="s">
        <v>46</v>
      </c>
      <c r="I30" s="2" t="s">
        <v>67</v>
      </c>
      <c r="J30" s="4">
        <v>1</v>
      </c>
      <c r="K30" s="4">
        <v>2018</v>
      </c>
      <c r="L30" s="2" t="s">
        <v>36</v>
      </c>
      <c r="M30" s="2" t="s">
        <v>48</v>
      </c>
      <c r="N30" s="4">
        <v>2010</v>
      </c>
    </row>
    <row r="31" spans="1:14">
      <c r="A31" s="2">
        <v>70241607</v>
      </c>
      <c r="B31" s="2" t="s">
        <v>30</v>
      </c>
      <c r="C31" s="2" t="s">
        <v>113</v>
      </c>
      <c r="D31" s="2" t="s">
        <v>114</v>
      </c>
      <c r="E31" s="3">
        <v>43350</v>
      </c>
      <c r="F31" s="4">
        <v>2011</v>
      </c>
      <c r="G31" s="2" t="s">
        <v>40</v>
      </c>
      <c r="H31" s="2" t="s">
        <v>115</v>
      </c>
      <c r="I31" s="2" t="s">
        <v>103</v>
      </c>
      <c r="J31" s="4">
        <v>112</v>
      </c>
      <c r="K31" s="4">
        <v>2018</v>
      </c>
      <c r="L31" s="2" t="s">
        <v>36</v>
      </c>
      <c r="M31" s="2" t="s">
        <v>37</v>
      </c>
      <c r="N31" s="4">
        <v>2010</v>
      </c>
    </row>
    <row r="32" spans="1:14">
      <c r="A32" s="2">
        <v>81148672</v>
      </c>
      <c r="B32" s="2" t="s">
        <v>30</v>
      </c>
      <c r="C32" s="2" t="s">
        <v>116</v>
      </c>
      <c r="D32" s="2" t="s">
        <v>32</v>
      </c>
      <c r="E32" s="3">
        <v>43767</v>
      </c>
      <c r="F32" s="4">
        <v>2019</v>
      </c>
      <c r="G32" s="2" t="s">
        <v>40</v>
      </c>
      <c r="H32" s="2" t="s">
        <v>117</v>
      </c>
      <c r="I32" s="2" t="s">
        <v>42</v>
      </c>
      <c r="J32" s="4">
        <v>63</v>
      </c>
      <c r="K32" s="4">
        <v>2019</v>
      </c>
      <c r="L32" s="2" t="s">
        <v>118</v>
      </c>
      <c r="M32" s="2" t="s">
        <v>37</v>
      </c>
      <c r="N32" s="4">
        <v>2010</v>
      </c>
    </row>
    <row r="33" spans="1:14">
      <c r="A33" s="2">
        <v>81169914</v>
      </c>
      <c r="B33" s="2" t="s">
        <v>43</v>
      </c>
      <c r="C33" s="2" t="s">
        <v>119</v>
      </c>
      <c r="D33" s="2" t="s">
        <v>32</v>
      </c>
      <c r="E33" s="3">
        <v>43767</v>
      </c>
      <c r="F33" s="4">
        <v>2018</v>
      </c>
      <c r="G33" s="2" t="s">
        <v>52</v>
      </c>
      <c r="H33" s="2" t="s">
        <v>46</v>
      </c>
      <c r="I33" s="2" t="s">
        <v>67</v>
      </c>
      <c r="J33" s="4">
        <v>1</v>
      </c>
      <c r="K33" s="4">
        <v>2019</v>
      </c>
      <c r="L33" s="2" t="s">
        <v>118</v>
      </c>
      <c r="M33" s="2" t="s">
        <v>48</v>
      </c>
      <c r="N33" s="4">
        <v>2010</v>
      </c>
    </row>
    <row r="34" spans="1:14">
      <c r="A34" s="2">
        <v>81211714</v>
      </c>
      <c r="B34" s="2" t="s">
        <v>30</v>
      </c>
      <c r="C34" s="2" t="s">
        <v>120</v>
      </c>
      <c r="D34" s="2" t="s">
        <v>32</v>
      </c>
      <c r="E34" s="3">
        <v>43767</v>
      </c>
      <c r="F34" s="4">
        <v>2019</v>
      </c>
      <c r="G34" s="2" t="s">
        <v>52</v>
      </c>
      <c r="H34" s="2" t="s">
        <v>121</v>
      </c>
      <c r="I34" s="2" t="s">
        <v>99</v>
      </c>
      <c r="J34" s="4">
        <v>14</v>
      </c>
      <c r="K34" s="4">
        <v>2019</v>
      </c>
      <c r="L34" s="2" t="s">
        <v>118</v>
      </c>
      <c r="M34" s="2" t="s">
        <v>37</v>
      </c>
      <c r="N34" s="4">
        <v>2010</v>
      </c>
    </row>
    <row r="35" spans="1:14">
      <c r="A35" s="2">
        <v>80224362</v>
      </c>
      <c r="B35" s="2" t="s">
        <v>30</v>
      </c>
      <c r="C35" s="2" t="s">
        <v>122</v>
      </c>
      <c r="D35" s="2" t="s">
        <v>89</v>
      </c>
      <c r="E35" s="3">
        <v>43402</v>
      </c>
      <c r="F35" s="4">
        <v>2017</v>
      </c>
      <c r="G35" s="2" t="s">
        <v>60</v>
      </c>
      <c r="H35" s="2" t="s">
        <v>123</v>
      </c>
      <c r="I35" s="2" t="s">
        <v>105</v>
      </c>
      <c r="J35" s="4">
        <v>87</v>
      </c>
      <c r="K35" s="4">
        <v>2018</v>
      </c>
      <c r="L35" s="2" t="s">
        <v>118</v>
      </c>
      <c r="M35" s="2" t="s">
        <v>37</v>
      </c>
      <c r="N35" s="4">
        <v>2010</v>
      </c>
    </row>
    <row r="36" spans="1:14">
      <c r="A36" s="2">
        <v>80092857</v>
      </c>
      <c r="B36" s="2" t="s">
        <v>30</v>
      </c>
      <c r="C36" s="2" t="s">
        <v>124</v>
      </c>
      <c r="D36" s="2" t="s">
        <v>125</v>
      </c>
      <c r="E36" s="3">
        <v>42672</v>
      </c>
      <c r="F36" s="4">
        <v>2016</v>
      </c>
      <c r="G36" s="2" t="s">
        <v>126</v>
      </c>
      <c r="H36" s="2" t="s">
        <v>127</v>
      </c>
      <c r="I36" s="2" t="s">
        <v>35</v>
      </c>
      <c r="J36" s="4">
        <v>92</v>
      </c>
      <c r="K36" s="4">
        <v>2016</v>
      </c>
      <c r="L36" s="2" t="s">
        <v>118</v>
      </c>
      <c r="M36" s="2" t="s">
        <v>37</v>
      </c>
      <c r="N36" s="4">
        <v>2010</v>
      </c>
    </row>
    <row r="37" spans="1:14">
      <c r="A37" s="2">
        <v>80244679</v>
      </c>
      <c r="B37" s="2" t="s">
        <v>30</v>
      </c>
      <c r="C37" s="2" t="s">
        <v>128</v>
      </c>
      <c r="D37" s="2" t="s">
        <v>129</v>
      </c>
      <c r="E37" s="3">
        <v>43766</v>
      </c>
      <c r="F37" s="4">
        <v>2019</v>
      </c>
      <c r="G37" s="2" t="s">
        <v>33</v>
      </c>
      <c r="H37" s="2" t="s">
        <v>130</v>
      </c>
      <c r="I37" s="2" t="s">
        <v>99</v>
      </c>
      <c r="J37" s="4">
        <v>28</v>
      </c>
      <c r="K37" s="4">
        <v>2019</v>
      </c>
      <c r="L37" s="2" t="s">
        <v>118</v>
      </c>
      <c r="M37" s="2" t="s">
        <v>37</v>
      </c>
      <c r="N37" s="4">
        <v>2010</v>
      </c>
    </row>
    <row r="38" spans="1:14">
      <c r="A38" s="2">
        <v>81110394</v>
      </c>
      <c r="B38" s="2" t="s">
        <v>30</v>
      </c>
      <c r="C38" s="2" t="s">
        <v>131</v>
      </c>
      <c r="D38" s="2" t="s">
        <v>39</v>
      </c>
      <c r="E38" s="3">
        <v>43766</v>
      </c>
      <c r="F38" s="4">
        <v>2018</v>
      </c>
      <c r="G38" s="2" t="s">
        <v>132</v>
      </c>
      <c r="H38" s="2" t="s">
        <v>133</v>
      </c>
      <c r="I38" s="2" t="s">
        <v>99</v>
      </c>
      <c r="J38" s="4">
        <v>20</v>
      </c>
      <c r="K38" s="4">
        <v>2019</v>
      </c>
      <c r="L38" s="2" t="s">
        <v>118</v>
      </c>
      <c r="M38" s="2" t="s">
        <v>37</v>
      </c>
      <c r="N38" s="4">
        <v>2010</v>
      </c>
    </row>
    <row r="39" spans="1:14">
      <c r="A39" s="2">
        <v>80067754</v>
      </c>
      <c r="B39" s="2" t="s">
        <v>30</v>
      </c>
      <c r="C39" s="2" t="s">
        <v>134</v>
      </c>
      <c r="D39" s="2" t="s">
        <v>32</v>
      </c>
      <c r="E39" s="3">
        <v>43401</v>
      </c>
      <c r="F39" s="4">
        <v>2015</v>
      </c>
      <c r="G39" s="2" t="s">
        <v>101</v>
      </c>
      <c r="H39" s="2" t="s">
        <v>135</v>
      </c>
      <c r="I39" s="2" t="s">
        <v>105</v>
      </c>
      <c r="J39" s="4">
        <v>102</v>
      </c>
      <c r="K39" s="4">
        <v>2018</v>
      </c>
      <c r="L39" s="2" t="s">
        <v>118</v>
      </c>
      <c r="M39" s="2" t="s">
        <v>37</v>
      </c>
      <c r="N39" s="4">
        <v>2010</v>
      </c>
    </row>
    <row r="40" spans="1:14">
      <c r="A40" s="2">
        <v>80189954</v>
      </c>
      <c r="B40" s="2" t="s">
        <v>30</v>
      </c>
      <c r="C40" s="2" t="s">
        <v>136</v>
      </c>
      <c r="D40" s="2" t="s">
        <v>125</v>
      </c>
      <c r="E40" s="3">
        <v>43036</v>
      </c>
      <c r="F40" s="4">
        <v>2017</v>
      </c>
      <c r="G40" s="2" t="s">
        <v>137</v>
      </c>
      <c r="H40" s="2" t="s">
        <v>138</v>
      </c>
      <c r="I40" s="2" t="s">
        <v>35</v>
      </c>
      <c r="J40" s="4">
        <v>93</v>
      </c>
      <c r="K40" s="4">
        <v>2017</v>
      </c>
      <c r="L40" s="2" t="s">
        <v>118</v>
      </c>
      <c r="M40" s="2" t="s">
        <v>37</v>
      </c>
      <c r="N40" s="4">
        <v>2010</v>
      </c>
    </row>
    <row r="41" spans="1:14">
      <c r="A41" s="2">
        <v>80094648</v>
      </c>
      <c r="B41" s="2" t="s">
        <v>30</v>
      </c>
      <c r="C41" s="2" t="s">
        <v>139</v>
      </c>
      <c r="D41" s="2" t="s">
        <v>125</v>
      </c>
      <c r="E41" s="3">
        <v>42671</v>
      </c>
      <c r="F41" s="4">
        <v>2016</v>
      </c>
      <c r="G41" s="2" t="s">
        <v>52</v>
      </c>
      <c r="H41" s="2" t="s">
        <v>140</v>
      </c>
      <c r="I41" s="2" t="s">
        <v>103</v>
      </c>
      <c r="J41" s="4">
        <v>89</v>
      </c>
      <c r="K41" s="4">
        <v>2016</v>
      </c>
      <c r="L41" s="2" t="s">
        <v>118</v>
      </c>
      <c r="M41" s="2" t="s">
        <v>37</v>
      </c>
      <c r="N41" s="4">
        <v>2010</v>
      </c>
    </row>
    <row r="42" spans="1:14">
      <c r="A42" s="2">
        <v>80066073</v>
      </c>
      <c r="B42" s="2" t="s">
        <v>30</v>
      </c>
      <c r="C42" s="2" t="s">
        <v>141</v>
      </c>
      <c r="D42" s="2" t="s">
        <v>39</v>
      </c>
      <c r="E42" s="3">
        <v>42671</v>
      </c>
      <c r="F42" s="4">
        <v>2016</v>
      </c>
      <c r="G42" s="2" t="s">
        <v>33</v>
      </c>
      <c r="H42" s="2" t="s">
        <v>142</v>
      </c>
      <c r="I42" s="2" t="s">
        <v>99</v>
      </c>
      <c r="J42" s="4">
        <v>107</v>
      </c>
      <c r="K42" s="4">
        <v>2016</v>
      </c>
      <c r="L42" s="2" t="s">
        <v>118</v>
      </c>
      <c r="M42" s="2" t="s">
        <v>37</v>
      </c>
      <c r="N42" s="4">
        <v>2010</v>
      </c>
    </row>
    <row r="43" spans="1:14">
      <c r="A43" s="2">
        <v>80123740</v>
      </c>
      <c r="B43" s="2" t="s">
        <v>30</v>
      </c>
      <c r="C43" s="2" t="s">
        <v>143</v>
      </c>
      <c r="D43" s="2" t="s">
        <v>89</v>
      </c>
      <c r="E43" s="3">
        <v>42671</v>
      </c>
      <c r="F43" s="4">
        <v>2016</v>
      </c>
      <c r="G43" s="2" t="s">
        <v>33</v>
      </c>
      <c r="H43" s="2" t="s">
        <v>41</v>
      </c>
      <c r="I43" s="2" t="s">
        <v>54</v>
      </c>
      <c r="J43" s="4">
        <v>94</v>
      </c>
      <c r="K43" s="4">
        <v>2016</v>
      </c>
      <c r="L43" s="2" t="s">
        <v>118</v>
      </c>
      <c r="M43" s="2" t="s">
        <v>37</v>
      </c>
      <c r="N43" s="4">
        <v>2010</v>
      </c>
    </row>
    <row r="44" spans="1:14">
      <c r="A44" s="2">
        <v>80123741</v>
      </c>
      <c r="B44" s="2" t="s">
        <v>30</v>
      </c>
      <c r="C44" s="2" t="s">
        <v>144</v>
      </c>
      <c r="D44" s="2" t="s">
        <v>89</v>
      </c>
      <c r="E44" s="3">
        <v>42671</v>
      </c>
      <c r="F44" s="4">
        <v>2016</v>
      </c>
      <c r="G44" s="2" t="s">
        <v>40</v>
      </c>
      <c r="H44" s="2" t="s">
        <v>61</v>
      </c>
      <c r="I44" s="2" t="s">
        <v>54</v>
      </c>
      <c r="J44" s="4">
        <v>110</v>
      </c>
      <c r="K44" s="4">
        <v>2016</v>
      </c>
      <c r="L44" s="2" t="s">
        <v>118</v>
      </c>
      <c r="M44" s="2" t="s">
        <v>37</v>
      </c>
      <c r="N44" s="4">
        <v>2010</v>
      </c>
    </row>
    <row r="45" spans="1:14">
      <c r="A45" s="2">
        <v>80094260</v>
      </c>
      <c r="B45" s="2" t="s">
        <v>43</v>
      </c>
      <c r="C45" s="2" t="s">
        <v>145</v>
      </c>
      <c r="D45" s="2" t="s">
        <v>125</v>
      </c>
      <c r="E45" s="3">
        <v>42671</v>
      </c>
      <c r="F45" s="4">
        <v>2016</v>
      </c>
      <c r="G45" s="2" t="s">
        <v>40</v>
      </c>
      <c r="H45" s="2" t="s">
        <v>46</v>
      </c>
      <c r="I45" s="2" t="s">
        <v>109</v>
      </c>
      <c r="J45" s="4">
        <v>1</v>
      </c>
      <c r="K45" s="4">
        <v>2016</v>
      </c>
      <c r="L45" s="2" t="s">
        <v>118</v>
      </c>
      <c r="M45" s="2" t="s">
        <v>48</v>
      </c>
      <c r="N45" s="4">
        <v>2010</v>
      </c>
    </row>
    <row r="46" spans="1:14">
      <c r="A46" s="2">
        <v>80123742</v>
      </c>
      <c r="B46" s="2" t="s">
        <v>30</v>
      </c>
      <c r="C46" s="2" t="s">
        <v>146</v>
      </c>
      <c r="D46" s="2" t="s">
        <v>89</v>
      </c>
      <c r="E46" s="3">
        <v>42671</v>
      </c>
      <c r="F46" s="4">
        <v>2016</v>
      </c>
      <c r="G46" s="2" t="s">
        <v>40</v>
      </c>
      <c r="H46" s="2" t="s">
        <v>147</v>
      </c>
      <c r="I46" s="2" t="s">
        <v>54</v>
      </c>
      <c r="J46" s="4">
        <v>81</v>
      </c>
      <c r="K46" s="4">
        <v>2016</v>
      </c>
      <c r="L46" s="2" t="s">
        <v>118</v>
      </c>
      <c r="M46" s="2" t="s">
        <v>37</v>
      </c>
      <c r="N46" s="4">
        <v>2010</v>
      </c>
    </row>
    <row r="47" spans="1:14">
      <c r="A47" s="2">
        <v>81197399</v>
      </c>
      <c r="B47" s="2" t="s">
        <v>43</v>
      </c>
      <c r="C47" s="2" t="s">
        <v>148</v>
      </c>
      <c r="D47" s="2" t="s">
        <v>149</v>
      </c>
      <c r="E47" s="3">
        <v>43765</v>
      </c>
      <c r="F47" s="4">
        <v>2019</v>
      </c>
      <c r="G47" s="2" t="s">
        <v>33</v>
      </c>
      <c r="H47" s="2" t="s">
        <v>46</v>
      </c>
      <c r="I47" s="2" t="s">
        <v>109</v>
      </c>
      <c r="J47" s="4">
        <v>1</v>
      </c>
      <c r="K47" s="4">
        <v>2019</v>
      </c>
      <c r="L47" s="2" t="s">
        <v>118</v>
      </c>
      <c r="M47" s="2" t="s">
        <v>48</v>
      </c>
      <c r="N47" s="4">
        <v>2010</v>
      </c>
    </row>
    <row r="48" spans="1:14">
      <c r="A48" s="2">
        <v>81000863</v>
      </c>
      <c r="B48" s="2" t="s">
        <v>30</v>
      </c>
      <c r="C48" s="2" t="s">
        <v>150</v>
      </c>
      <c r="D48" s="2" t="s">
        <v>32</v>
      </c>
      <c r="E48" s="3">
        <v>43400</v>
      </c>
      <c r="F48" s="4">
        <v>2018</v>
      </c>
      <c r="G48" s="2" t="s">
        <v>40</v>
      </c>
      <c r="H48" s="2" t="s">
        <v>140</v>
      </c>
      <c r="I48" s="2" t="s">
        <v>103</v>
      </c>
      <c r="J48" s="4">
        <v>89</v>
      </c>
      <c r="K48" s="4">
        <v>2018</v>
      </c>
      <c r="L48" s="2" t="s">
        <v>118</v>
      </c>
      <c r="M48" s="2" t="s">
        <v>37</v>
      </c>
      <c r="N48" s="4">
        <v>2010</v>
      </c>
    </row>
    <row r="49" spans="1:14">
      <c r="A49" s="2">
        <v>70082255</v>
      </c>
      <c r="B49" s="2" t="s">
        <v>30</v>
      </c>
      <c r="C49" s="2" t="s">
        <v>151</v>
      </c>
      <c r="D49" s="2" t="s">
        <v>152</v>
      </c>
      <c r="E49" s="3">
        <v>43400</v>
      </c>
      <c r="F49" s="4">
        <v>2006</v>
      </c>
      <c r="G49" s="2" t="s">
        <v>40</v>
      </c>
      <c r="H49" s="2" t="s">
        <v>41</v>
      </c>
      <c r="I49" s="2" t="s">
        <v>69</v>
      </c>
      <c r="J49" s="4">
        <v>94</v>
      </c>
      <c r="K49" s="4">
        <v>2018</v>
      </c>
      <c r="L49" s="2" t="s">
        <v>118</v>
      </c>
      <c r="M49" s="2" t="s">
        <v>37</v>
      </c>
      <c r="N49" s="4">
        <v>2000</v>
      </c>
    </row>
    <row r="50" spans="1:14">
      <c r="A50" s="2">
        <v>80197912</v>
      </c>
      <c r="B50" s="2" t="s">
        <v>43</v>
      </c>
      <c r="C50" s="2" t="s">
        <v>153</v>
      </c>
      <c r="D50" s="2" t="s">
        <v>32</v>
      </c>
      <c r="E50" s="3">
        <v>43035</v>
      </c>
      <c r="F50" s="4">
        <v>2017</v>
      </c>
      <c r="G50" s="2" t="s">
        <v>52</v>
      </c>
      <c r="H50" s="2" t="s">
        <v>46</v>
      </c>
      <c r="I50" s="2" t="s">
        <v>154</v>
      </c>
      <c r="J50" s="4">
        <v>1</v>
      </c>
      <c r="K50" s="4">
        <v>2017</v>
      </c>
      <c r="L50" s="2" t="s">
        <v>118</v>
      </c>
      <c r="M50" s="2" t="s">
        <v>48</v>
      </c>
      <c r="N50" s="4">
        <v>2010</v>
      </c>
    </row>
    <row r="51" spans="1:14">
      <c r="A51" s="2">
        <v>80117454</v>
      </c>
      <c r="B51" s="2" t="s">
        <v>30</v>
      </c>
      <c r="C51" s="2" t="s">
        <v>155</v>
      </c>
      <c r="D51" s="2" t="s">
        <v>32</v>
      </c>
      <c r="E51" s="3">
        <v>43035</v>
      </c>
      <c r="F51" s="4">
        <v>2016</v>
      </c>
      <c r="G51" s="2" t="s">
        <v>52</v>
      </c>
      <c r="H51" s="2" t="s">
        <v>94</v>
      </c>
      <c r="I51" s="2" t="s">
        <v>99</v>
      </c>
      <c r="J51" s="4">
        <v>98</v>
      </c>
      <c r="K51" s="4">
        <v>2017</v>
      </c>
      <c r="L51" s="2" t="s">
        <v>118</v>
      </c>
      <c r="M51" s="2" t="s">
        <v>37</v>
      </c>
      <c r="N51" s="4">
        <v>2010</v>
      </c>
    </row>
    <row r="52" spans="1:14">
      <c r="A52" s="2">
        <v>80095197</v>
      </c>
      <c r="B52" s="2" t="s">
        <v>30</v>
      </c>
      <c r="C52" s="2" t="s">
        <v>156</v>
      </c>
      <c r="D52" s="2" t="s">
        <v>56</v>
      </c>
      <c r="E52" s="3">
        <v>42670</v>
      </c>
      <c r="F52" s="4">
        <v>2016</v>
      </c>
      <c r="G52" s="2" t="s">
        <v>40</v>
      </c>
      <c r="H52" s="2" t="s">
        <v>111</v>
      </c>
      <c r="I52" s="2" t="s">
        <v>105</v>
      </c>
      <c r="J52" s="4">
        <v>77</v>
      </c>
      <c r="K52" s="4">
        <v>2016</v>
      </c>
      <c r="L52" s="2" t="s">
        <v>118</v>
      </c>
      <c r="M52" s="2" t="s">
        <v>37</v>
      </c>
      <c r="N52" s="4">
        <v>2010</v>
      </c>
    </row>
    <row r="53" spans="1:14">
      <c r="A53" s="2">
        <v>80045783</v>
      </c>
      <c r="B53" s="2" t="s">
        <v>30</v>
      </c>
      <c r="C53" s="2" t="s">
        <v>157</v>
      </c>
      <c r="D53" s="2" t="s">
        <v>32</v>
      </c>
      <c r="E53" s="3">
        <v>42304</v>
      </c>
      <c r="F53" s="4">
        <v>2015</v>
      </c>
      <c r="G53" s="2" t="s">
        <v>90</v>
      </c>
      <c r="H53" s="2" t="s">
        <v>158</v>
      </c>
      <c r="I53" s="2" t="s">
        <v>54</v>
      </c>
      <c r="J53" s="4">
        <v>85</v>
      </c>
      <c r="K53" s="4">
        <v>2015</v>
      </c>
      <c r="L53" s="2" t="s">
        <v>118</v>
      </c>
      <c r="M53" s="2" t="s">
        <v>37</v>
      </c>
      <c r="N53" s="4">
        <v>2010</v>
      </c>
    </row>
    <row r="54" spans="1:14">
      <c r="A54" s="2">
        <v>81185502</v>
      </c>
      <c r="B54" s="2" t="s">
        <v>43</v>
      </c>
      <c r="C54" s="2" t="s">
        <v>159</v>
      </c>
      <c r="D54" s="2" t="s">
        <v>149</v>
      </c>
      <c r="E54" s="3">
        <v>43764</v>
      </c>
      <c r="F54" s="4">
        <v>2019</v>
      </c>
      <c r="G54" s="2" t="s">
        <v>132</v>
      </c>
      <c r="H54" s="2" t="s">
        <v>46</v>
      </c>
      <c r="I54" s="2" t="s">
        <v>109</v>
      </c>
      <c r="J54" s="4">
        <v>1</v>
      </c>
      <c r="K54" s="4">
        <v>2019</v>
      </c>
      <c r="L54" s="2" t="s">
        <v>118</v>
      </c>
      <c r="M54" s="2" t="s">
        <v>48</v>
      </c>
      <c r="N54" s="4">
        <v>2010</v>
      </c>
    </row>
    <row r="55" spans="1:14">
      <c r="A55" s="2">
        <v>81123469</v>
      </c>
      <c r="B55" s="2" t="s">
        <v>30</v>
      </c>
      <c r="C55" s="2" t="s">
        <v>160</v>
      </c>
      <c r="D55" s="2" t="s">
        <v>32</v>
      </c>
      <c r="E55" s="3">
        <v>43764</v>
      </c>
      <c r="F55" s="4">
        <v>2019</v>
      </c>
      <c r="G55" s="2" t="s">
        <v>137</v>
      </c>
      <c r="H55" s="2" t="s">
        <v>161</v>
      </c>
      <c r="I55" s="2" t="s">
        <v>105</v>
      </c>
      <c r="J55" s="4">
        <v>88</v>
      </c>
      <c r="K55" s="4">
        <v>2019</v>
      </c>
      <c r="L55" s="2" t="s">
        <v>118</v>
      </c>
      <c r="M55" s="2" t="s">
        <v>37</v>
      </c>
      <c r="N55" s="4">
        <v>2010</v>
      </c>
    </row>
    <row r="56" spans="1:14">
      <c r="A56" s="2">
        <v>80211622</v>
      </c>
      <c r="B56" s="2" t="s">
        <v>30</v>
      </c>
      <c r="C56" s="2" t="s">
        <v>162</v>
      </c>
      <c r="D56" s="2" t="s">
        <v>71</v>
      </c>
      <c r="E56" s="3">
        <v>43399</v>
      </c>
      <c r="F56" s="4">
        <v>2018</v>
      </c>
      <c r="G56" s="2" t="s">
        <v>40</v>
      </c>
      <c r="H56" s="2" t="s">
        <v>163</v>
      </c>
      <c r="I56" s="2" t="s">
        <v>105</v>
      </c>
      <c r="J56" s="4">
        <v>100</v>
      </c>
      <c r="K56" s="4">
        <v>2018</v>
      </c>
      <c r="L56" s="2" t="s">
        <v>118</v>
      </c>
      <c r="M56" s="2" t="s">
        <v>37</v>
      </c>
      <c r="N56" s="4">
        <v>2010</v>
      </c>
    </row>
    <row r="57" spans="1:14">
      <c r="A57" s="2">
        <v>80990221</v>
      </c>
      <c r="B57" s="2" t="s">
        <v>30</v>
      </c>
      <c r="C57" s="2" t="s">
        <v>164</v>
      </c>
      <c r="D57" s="2" t="s">
        <v>165</v>
      </c>
      <c r="E57" s="3">
        <v>43399</v>
      </c>
      <c r="F57" s="4">
        <v>2018</v>
      </c>
      <c r="G57" s="2" t="s">
        <v>101</v>
      </c>
      <c r="H57" s="2" t="s">
        <v>166</v>
      </c>
      <c r="I57" s="2" t="s">
        <v>105</v>
      </c>
      <c r="J57" s="4">
        <v>126</v>
      </c>
      <c r="K57" s="4">
        <v>2018</v>
      </c>
      <c r="L57" s="2" t="s">
        <v>118</v>
      </c>
      <c r="M57" s="2" t="s">
        <v>37</v>
      </c>
      <c r="N57" s="4">
        <v>2010</v>
      </c>
    </row>
    <row r="58" spans="1:14">
      <c r="A58" s="2">
        <v>80202352</v>
      </c>
      <c r="B58" s="2" t="s">
        <v>30</v>
      </c>
      <c r="C58" s="2" t="s">
        <v>167</v>
      </c>
      <c r="D58" s="2" t="s">
        <v>168</v>
      </c>
      <c r="E58" s="3">
        <v>43399</v>
      </c>
      <c r="F58" s="4">
        <v>2019</v>
      </c>
      <c r="G58" s="2" t="s">
        <v>40</v>
      </c>
      <c r="H58" s="2" t="s">
        <v>140</v>
      </c>
      <c r="I58" s="2" t="s">
        <v>69</v>
      </c>
      <c r="J58" s="4">
        <v>89</v>
      </c>
      <c r="K58" s="4">
        <v>2018</v>
      </c>
      <c r="L58" s="2" t="s">
        <v>118</v>
      </c>
      <c r="M58" s="2" t="s">
        <v>37</v>
      </c>
      <c r="N58" s="4">
        <v>2010</v>
      </c>
    </row>
    <row r="59" spans="1:14">
      <c r="A59" s="2">
        <v>80235268</v>
      </c>
      <c r="B59" s="2" t="s">
        <v>30</v>
      </c>
      <c r="C59" s="2" t="s">
        <v>169</v>
      </c>
      <c r="D59" s="2" t="s">
        <v>56</v>
      </c>
      <c r="E59" s="3">
        <v>43399</v>
      </c>
      <c r="F59" s="4">
        <v>2018</v>
      </c>
      <c r="G59" s="2" t="s">
        <v>40</v>
      </c>
      <c r="H59" s="2" t="s">
        <v>34</v>
      </c>
      <c r="I59" s="2" t="s">
        <v>54</v>
      </c>
      <c r="J59" s="4">
        <v>90</v>
      </c>
      <c r="K59" s="4">
        <v>2018</v>
      </c>
      <c r="L59" s="2" t="s">
        <v>118</v>
      </c>
      <c r="M59" s="2" t="s">
        <v>37</v>
      </c>
      <c r="N59" s="4">
        <v>2010</v>
      </c>
    </row>
    <row r="60" spans="1:14">
      <c r="A60" s="2">
        <v>80992500</v>
      </c>
      <c r="B60" s="2" t="s">
        <v>30</v>
      </c>
      <c r="C60" s="2" t="s">
        <v>170</v>
      </c>
      <c r="D60" s="2" t="s">
        <v>171</v>
      </c>
      <c r="E60" s="3">
        <v>43399</v>
      </c>
      <c r="F60" s="4">
        <v>2018</v>
      </c>
      <c r="G60" s="2" t="s">
        <v>52</v>
      </c>
      <c r="H60" s="2" t="s">
        <v>123</v>
      </c>
      <c r="I60" s="2" t="s">
        <v>54</v>
      </c>
      <c r="J60" s="4">
        <v>87</v>
      </c>
      <c r="K60" s="4">
        <v>2018</v>
      </c>
      <c r="L60" s="2" t="s">
        <v>118</v>
      </c>
      <c r="M60" s="2" t="s">
        <v>37</v>
      </c>
      <c r="N60" s="4">
        <v>2010</v>
      </c>
    </row>
    <row r="61" spans="1:14">
      <c r="A61" s="2">
        <v>80241061</v>
      </c>
      <c r="B61" s="2" t="s">
        <v>30</v>
      </c>
      <c r="C61" s="2" t="s">
        <v>172</v>
      </c>
      <c r="D61" s="2" t="s">
        <v>32</v>
      </c>
      <c r="E61" s="3">
        <v>43399</v>
      </c>
      <c r="F61" s="4">
        <v>2018</v>
      </c>
      <c r="G61" s="2" t="s">
        <v>52</v>
      </c>
      <c r="H61" s="2" t="s">
        <v>173</v>
      </c>
      <c r="I61" s="2" t="s">
        <v>99</v>
      </c>
      <c r="J61" s="4">
        <v>97</v>
      </c>
      <c r="K61" s="4">
        <v>2018</v>
      </c>
      <c r="L61" s="2" t="s">
        <v>118</v>
      </c>
      <c r="M61" s="2" t="s">
        <v>37</v>
      </c>
      <c r="N61" s="4">
        <v>2010</v>
      </c>
    </row>
  </sheetData>
  <conditionalFormatting sqref="J2:J61">
    <cfRule type="dataBar" priority="1">
      <dataBar>
        <cfvo type="min"/>
        <cfvo type="max"/>
        <color rgb="FFE50914"/>
      </dataBar>
    </cfRule>
    <cfRule type="dataBar" priority="2">
      <dataBar>
        <cfvo type="min"/>
        <cfvo type="max"/>
        <color rgb="FFE50914"/>
      </dataBar>
      <extLst>
        <ext xmlns:x14="http://schemas.microsoft.com/office/spreadsheetml/2009/9/main" uri="{B025F937-C7B1-47D3-B67F-A62EFF666E3E}">
          <x14:id>{5E83432D-7348-184A-A15D-B839DABAE568}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3432D-7348-184A-A15D-B839DABAE568}">
            <x14:dataBar>
              <x14:cfvo type="min"/>
              <x14:cfvo type="max"/>
              <x14:negativeFillColor auto="1"/>
              <x14:axisColor auto="1"/>
            </x14:dataBar>
          </x14:cfRule>
          <xm:sqref>J2:J61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"/>
  <sheetViews>
    <sheetView workbookViewId="0">
      <selection sqref="A1:Q1"/>
    </sheetView>
  </sheetViews>
  <sheetFormatPr defaultRowHeight="13.8"/>
  <cols>
    <col min="1" max="2" width="20" customWidth="1"/>
    <col min="3" max="3" width="3" customWidth="1"/>
    <col min="4" max="5" width="18" customWidth="1"/>
    <col min="6" max="6" width="3" customWidth="1"/>
    <col min="7" max="8" width="24" customWidth="1"/>
    <col min="9" max="9" width="3" customWidth="1"/>
    <col min="10" max="11" width="18" customWidth="1"/>
    <col min="12" max="12" width="3" customWidth="1"/>
    <col min="13" max="14" width="18" customWidth="1"/>
    <col min="15" max="15" width="3" customWidth="1"/>
    <col min="16" max="17" width="18" customWidth="1"/>
    <col min="21" max="21" width="28" customWidth="1"/>
    <col min="22" max="22" width="14" customWidth="1"/>
    <col min="23" max="23" width="22" customWidth="1"/>
    <col min="24" max="24" width="14" customWidth="1"/>
  </cols>
  <sheetData>
    <row r="1" spans="1:24" ht="19.2">
      <c r="A1" s="43" t="s">
        <v>174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S1" t="s">
        <v>2</v>
      </c>
      <c r="T1" t="s">
        <v>4</v>
      </c>
    </row>
    <row r="2" spans="1:24">
      <c r="A2" s="44" t="s">
        <v>175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S2" t="s">
        <v>3</v>
      </c>
      <c r="T2" t="s">
        <v>3</v>
      </c>
    </row>
    <row r="3" spans="1:24">
      <c r="S3" t="s">
        <v>30</v>
      </c>
      <c r="T3" t="s">
        <v>126</v>
      </c>
    </row>
    <row r="4" spans="1:24">
      <c r="A4" s="6" t="s">
        <v>176</v>
      </c>
      <c r="B4" s="6" t="s">
        <v>177</v>
      </c>
      <c r="S4" t="s">
        <v>43</v>
      </c>
      <c r="T4" t="s">
        <v>90</v>
      </c>
    </row>
    <row r="5" spans="1:24" ht="17.399999999999999">
      <c r="A5" s="7" t="s">
        <v>178</v>
      </c>
      <c r="B5" s="8">
        <f>IF(AND(Dashboard!$B$6="All",Dashboard!$E$6="All"),COUNTA(Data!$A$2:$A$61),IF(Dashboard!$B$6="All",COUNTIF(Data!$G$2:$G$61,Dashboard!$E$6),IF(Dashboard!$E$6="All",COUNTIF(Data!$B$2:$B$61,Dashboard!$B$6),COUNTIFS(Data!$B$2:$B$61,Dashboard!$B$6,Data!$G$2:$G$61,Dashboard!$E$6))))</f>
        <v>60</v>
      </c>
      <c r="T5" t="s">
        <v>137</v>
      </c>
    </row>
    <row r="6" spans="1:24" ht="17.399999999999999">
      <c r="A6" s="7" t="s">
        <v>179</v>
      </c>
      <c r="B6" s="8">
        <f>IF(Dashboard!$B$6="TV Show",0,IF(Dashboard!$E$6="All",COUNTIF(Data!$B$2:$B$61,"Movie"),COUNTIFS(Data!$B$2:$B$61,"Movie",Data!$G$2:$G$61,Dashboard!$E$6)))</f>
        <v>49</v>
      </c>
      <c r="T6" t="s">
        <v>101</v>
      </c>
    </row>
    <row r="7" spans="1:24" ht="17.399999999999999">
      <c r="A7" s="7" t="s">
        <v>180</v>
      </c>
      <c r="B7" s="8">
        <f>IF(Dashboard!$B$6="Movie",0,IF(Dashboard!$E$6="All",COUNTIF(Data!$B$2:$B$61,"TV Show"),COUNTIFS(Data!$B$2:$B$61,"TV Show",Data!$G$2:$G$61,Dashboard!$E$6)))</f>
        <v>11</v>
      </c>
      <c r="T7" t="s">
        <v>60</v>
      </c>
    </row>
    <row r="8" spans="1:24" ht="17.399999999999999">
      <c r="A8" s="7" t="s">
        <v>181</v>
      </c>
      <c r="B8" s="9">
        <f>IF(Dashboard!$B$6="TV Show","—",IF(Dashboard!$E$6="All",SUMIF(Data!$B$2:$B$61,"Movie",Data!$J$2:$J$61)/COUNTIF(Data!$B$2:$B$61,"Movie"),SUMIFS(Data!$J$2:$J$61,Data!$B$2:$B$61,"Movie",Data!$G$2:$G$61,Dashboard!$E$6)/COUNTIFS(Data!$B$2:$B$61,"Movie",Data!$G$2:$G$61,Dashboard!$E$6)))</f>
        <v>84.183673469387756</v>
      </c>
      <c r="T8" t="s">
        <v>52</v>
      </c>
    </row>
    <row r="9" spans="1:24">
      <c r="T9" t="s">
        <v>132</v>
      </c>
    </row>
    <row r="10" spans="1:24">
      <c r="T10" t="s">
        <v>40</v>
      </c>
    </row>
    <row r="11" spans="1:24">
      <c r="A11" s="6" t="s">
        <v>2</v>
      </c>
      <c r="B11" s="6" t="s">
        <v>182</v>
      </c>
      <c r="D11" s="6" t="s">
        <v>4</v>
      </c>
      <c r="E11" s="6" t="s">
        <v>182</v>
      </c>
      <c r="G11" s="6" t="s">
        <v>24</v>
      </c>
      <c r="H11" s="6" t="s">
        <v>182</v>
      </c>
      <c r="J11" s="6" t="s">
        <v>20</v>
      </c>
      <c r="K11" s="6" t="s">
        <v>182</v>
      </c>
      <c r="M11" s="6" t="s">
        <v>26</v>
      </c>
      <c r="N11" s="6" t="s">
        <v>182</v>
      </c>
      <c r="P11" s="6" t="s">
        <v>183</v>
      </c>
      <c r="Q11" s="6" t="s">
        <v>182</v>
      </c>
      <c r="T11" t="s">
        <v>33</v>
      </c>
      <c r="U11" s="6" t="s">
        <v>184</v>
      </c>
      <c r="V11" s="6" t="s">
        <v>182</v>
      </c>
      <c r="W11" s="6" t="s">
        <v>185</v>
      </c>
      <c r="X11" s="6" t="s">
        <v>182</v>
      </c>
    </row>
    <row r="12" spans="1:24">
      <c r="A12" t="s">
        <v>30</v>
      </c>
      <c r="B12">
        <f>IF(Dashboard!$B$6="TV Show",0,IF(Dashboard!$E$6="All",COUNTIF(Data!$B$2:$B$61,"Movie"),COUNTIFS(Data!$B$2:$B$61,"Movie",Data!$G$2:$G$61,Dashboard!$E$6)))</f>
        <v>49</v>
      </c>
      <c r="D12" t="s">
        <v>126</v>
      </c>
      <c r="E12">
        <f>IF(AND(Dashboard!$B$6="All",Dashboard!$E$6="All"),COUNTIF(Data!$G$2:$G$61,$D12),IF(Dashboard!$B$6="All",COUNTIFS(Data!$G$2:$G$61,$D12,Data!$G$2:$G$61,Dashboard!$E$6),IF(Dashboard!$E$6="All",COUNTIFS(Data!$G$2:$G$61,$D12,Data!$B$2:$B$61,Dashboard!$B$6),COUNTIFS(Data!$G$2:$G$61,$D12,Data!$B$2:$B$61,Dashboard!$B$6,Data!$G$2:$G$61,Dashboard!$E$6))))</f>
        <v>1</v>
      </c>
      <c r="G12" t="s">
        <v>69</v>
      </c>
      <c r="H12">
        <f>IF(AND(Dashboard!$B$6="All",Dashboard!$E$6="All"),COUNTIF(Data!$I$2:$I$61,$G12),IF(Dashboard!$B$6="All",COUNTIFS(Data!$I$2:$I$61,$G12,Data!$G$2:$G$61,Dashboard!$E$6),IF(Dashboard!$E$6="All",COUNTIFS(Data!$I$2:$I$61,$G12,Data!$B$2:$B$61,Dashboard!$B$6),COUNTIFS(Data!$I$2:$I$61,$G12,Data!$B$2:$B$61,Dashboard!$B$6,Data!$G$2:$G$61,Dashboard!$E$6))))</f>
        <v>5</v>
      </c>
      <c r="J12" t="s">
        <v>32</v>
      </c>
      <c r="K12">
        <f>IF(AND(Dashboard!$B$6="All",Dashboard!$E$6="All"),COUNTIF(Data!$D$2:$D$61,$J12),IF(Dashboard!$B$6="All",COUNTIFS(Data!$D$2:$D$61,$J12,Data!$G$2:$G$61,Dashboard!$E$6),IF(Dashboard!$E$6="All",COUNTIFS(Data!$D$2:$D$61,$J12,Data!$B$2:$B$61,Dashboard!$B$6),COUNTIFS(Data!$D$2:$D$61,$J12,Data!$B$2:$B$61,Dashboard!$B$6,Data!$G$2:$G$61,Dashboard!$E$6))))</f>
        <v>23</v>
      </c>
      <c r="M12">
        <v>2015</v>
      </c>
      <c r="N12">
        <f>IF(AND(Dashboard!$B$6="All",Dashboard!$E$6="All"),COUNTIF(Data!$K$2:$K$61,$M12),IF(Dashboard!$B$6="All",COUNTIFS(Data!$K$2:$K$61,$M12,Data!$G$2:$G$61,Dashboard!$E$6),IF(Dashboard!$E$6="All",COUNTIFS(Data!$K$2:$K$61,$M12,Data!$B$2:$B$61,Dashboard!$B$6),COUNTIFS(Data!$K$2:$K$61,$M12,Data!$B$2:$B$61,Dashboard!$B$6,Data!$G$2:$G$61,Dashboard!$E$6))))</f>
        <v>2</v>
      </c>
      <c r="P12" t="s">
        <v>186</v>
      </c>
      <c r="Q12">
        <f>IF(Dashboard!$E$6="All",COUNTIFS(Data!$B$2:$B$61,"Movie",Data!$J$2:$J$61,"&lt;60"),COUNTIFS(Data!$B$2:$B$61,"Movie",Data!$J$2:$J$61,"&lt;60",Data!$G$2:$G$61,Dashboard!$E$6))</f>
        <v>5</v>
      </c>
      <c r="T12" t="s">
        <v>81</v>
      </c>
      <c r="U12" t="s">
        <v>35</v>
      </c>
      <c r="V12">
        <f>IF(AND(Dashboard!$B$6="All",Dashboard!$E$6="All"),COUNTIF(Data!$I$2:$I$61,$U12),IF(Dashboard!$B$6="All",COUNTIFS(Data!$I$2:$I$61,$U12,Data!$G$2:$G$61,Dashboard!$E$6),IF(Dashboard!$E$6="All",COUNTIFS(Data!$I$2:$I$61,$U12,Data!$B$2:$B$61,Dashboard!$B$6),COUNTIFS(Data!$I$2:$I$61,$U12,Data!$B$2:$B$61,Dashboard!$B$6,Data!$G$2:$G$61,Dashboard!$E$6))))</f>
        <v>10</v>
      </c>
      <c r="W12" t="s">
        <v>32</v>
      </c>
      <c r="X12">
        <f>IF(AND(Dashboard!$B$6="All",Dashboard!$E$6="All"),COUNTIF(Data!$D$2:$D$61,$W12),IF(Dashboard!$B$6="All",COUNTIFS(Data!$D$2:$D$61,$W12,Data!$G$2:$G$61,Dashboard!$E$6),IF(Dashboard!$E$6="All",COUNTIFS(Data!$D$2:$D$61,$W12,Data!$B$2:$B$61,Dashboard!$B$6),COUNTIFS(Data!$D$2:$D$61,$W12,Data!$B$2:$B$61,Dashboard!$B$6,Data!$G$2:$G$61,Dashboard!$E$6))))</f>
        <v>23</v>
      </c>
    </row>
    <row r="13" spans="1:24">
      <c r="A13" t="s">
        <v>43</v>
      </c>
      <c r="B13">
        <f>IF(Dashboard!$B$6="Movie",0,IF(Dashboard!$E$6="All",COUNTIF(Data!$B$2:$B$61,"TV Show"),COUNTIFS(Data!$B$2:$B$61,"TV Show",Data!$G$2:$G$61,Dashboard!$E$6)))</f>
        <v>11</v>
      </c>
      <c r="D13" t="s">
        <v>90</v>
      </c>
      <c r="E13">
        <f>IF(AND(Dashboard!$B$6="All",Dashboard!$E$6="All"),COUNTIF(Data!$G$2:$G$61,$D13),IF(Dashboard!$B$6="All",COUNTIFS(Data!$G$2:$G$61,$D13,Data!$G$2:$G$61,Dashboard!$E$6),IF(Dashboard!$E$6="All",COUNTIFS(Data!$G$2:$G$61,$D13,Data!$B$2:$B$61,Dashboard!$B$6),COUNTIFS(Data!$G$2:$G$61,$D13,Data!$B$2:$B$61,Dashboard!$B$6,Data!$G$2:$G$61,Dashboard!$E$6))))</f>
        <v>3</v>
      </c>
      <c r="G13" t="s">
        <v>35</v>
      </c>
      <c r="H13">
        <f>IF(AND(Dashboard!$B$6="All",Dashboard!$E$6="All"),COUNTIF(Data!$I$2:$I$61,$G13),IF(Dashboard!$B$6="All",COUNTIFS(Data!$I$2:$I$61,$G13,Data!$G$2:$G$61,Dashboard!$E$6),IF(Dashboard!$E$6="All",COUNTIFS(Data!$I$2:$I$61,$G13,Data!$B$2:$B$61,Dashboard!$B$6),COUNTIFS(Data!$I$2:$I$61,$G13,Data!$B$2:$B$61,Dashboard!$B$6,Data!$G$2:$G$61,Dashboard!$E$6))))</f>
        <v>10</v>
      </c>
      <c r="J13" t="s">
        <v>39</v>
      </c>
      <c r="K13">
        <f>IF(AND(Dashboard!$B$6="All",Dashboard!$E$6="All"),COUNTIF(Data!$D$2:$D$61,$J13),IF(Dashboard!$B$6="All",COUNTIFS(Data!$D$2:$D$61,$J13,Data!$G$2:$G$61,Dashboard!$E$6),IF(Dashboard!$E$6="All",COUNTIFS(Data!$D$2:$D$61,$J13,Data!$B$2:$B$61,Dashboard!$B$6),COUNTIFS(Data!$D$2:$D$61,$J13,Data!$B$2:$B$61,Dashboard!$B$6,Data!$G$2:$G$61,Dashboard!$E$6))))</f>
        <v>3</v>
      </c>
      <c r="M13">
        <v>2016</v>
      </c>
      <c r="N13">
        <f>IF(AND(Dashboard!$B$6="All",Dashboard!$E$6="All"),COUNTIF(Data!$K$2:$K$61,$M13),IF(Dashboard!$B$6="All",COUNTIFS(Data!$K$2:$K$61,$M13,Data!$G$2:$G$61,Dashboard!$E$6),IF(Dashboard!$E$6="All",COUNTIFS(Data!$K$2:$K$61,$M13,Data!$B$2:$B$61,Dashboard!$B$6),COUNTIFS(Data!$K$2:$K$61,$M13,Data!$B$2:$B$61,Dashboard!$B$6,Data!$G$2:$G$61,Dashboard!$E$6))))</f>
        <v>9</v>
      </c>
      <c r="P13" t="s">
        <v>187</v>
      </c>
      <c r="Q13">
        <f>IF(Dashboard!$E$6="All",COUNTIFS(Data!$B$2:$B$61,"Movie",Data!$J$2:$J$61,"&gt;=60",Data!$J$2:$J$61,"&lt;90"),COUNTIFS(Data!$B$2:$B$61,"Movie",Data!$J$2:$J$61,"&gt;=60",Data!$J$2:$J$61,"&lt;90",Data!$G$2:$G$61,Dashboard!$E$6))</f>
        <v>20</v>
      </c>
      <c r="T13" t="s">
        <v>50</v>
      </c>
      <c r="U13" t="s">
        <v>54</v>
      </c>
      <c r="V13">
        <f>IF(AND(Dashboard!$B$6="All",Dashboard!$E$6="All"),COUNTIF(Data!$I$2:$I$61,$U13),IF(Dashboard!$B$6="All",COUNTIFS(Data!$I$2:$I$61,$U13,Data!$G$2:$G$61,Dashboard!$E$6),IF(Dashboard!$E$6="All",COUNTIFS(Data!$I$2:$I$61,$U13,Data!$B$2:$B$61,Dashboard!$B$6),COUNTIFS(Data!$I$2:$I$61,$U13,Data!$B$2:$B$61,Dashboard!$B$6,Data!$G$2:$G$61,Dashboard!$E$6))))</f>
        <v>8</v>
      </c>
      <c r="W13" t="s">
        <v>89</v>
      </c>
      <c r="X13">
        <f>IF(AND(Dashboard!$B$6="All",Dashboard!$E$6="All"),COUNTIF(Data!$D$2:$D$61,$W13),IF(Dashboard!$B$6="All",COUNTIFS(Data!$D$2:$D$61,$W13,Data!$G$2:$G$61,Dashboard!$E$6),IF(Dashboard!$E$6="All",COUNTIFS(Data!$D$2:$D$61,$W13,Data!$B$2:$B$61,Dashboard!$B$6),COUNTIFS(Data!$D$2:$D$61,$W13,Data!$B$2:$B$61,Dashboard!$B$6,Data!$G$2:$G$61,Dashboard!$E$6))))</f>
        <v>6</v>
      </c>
    </row>
    <row r="14" spans="1:24">
      <c r="D14" t="s">
        <v>137</v>
      </c>
      <c r="E14">
        <f>IF(AND(Dashboard!$B$6="All",Dashboard!$E$6="All"),COUNTIF(Data!$G$2:$G$61,$D14),IF(Dashboard!$B$6="All",COUNTIFS(Data!$G$2:$G$61,$D14,Data!$G$2:$G$61,Dashboard!$E$6),IF(Dashboard!$E$6="All",COUNTIFS(Data!$G$2:$G$61,$D14,Data!$B$2:$B$61,Dashboard!$B$6),COUNTIFS(Data!$G$2:$G$61,$D14,Data!$B$2:$B$61,Dashboard!$B$6,Data!$G$2:$G$61,Dashboard!$E$6))))</f>
        <v>2</v>
      </c>
      <c r="G14" t="s">
        <v>54</v>
      </c>
      <c r="H14">
        <f>IF(AND(Dashboard!$B$6="All",Dashboard!$E$6="All"),COUNTIF(Data!$I$2:$I$61,$G14),IF(Dashboard!$B$6="All",COUNTIFS(Data!$I$2:$I$61,$G14,Data!$G$2:$G$61,Dashboard!$E$6),IF(Dashboard!$E$6="All",COUNTIFS(Data!$I$2:$I$61,$G14,Data!$B$2:$B$61,Dashboard!$B$6),COUNTIFS(Data!$I$2:$I$61,$G14,Data!$B$2:$B$61,Dashboard!$B$6,Data!$G$2:$G$61,Dashboard!$E$6))))</f>
        <v>8</v>
      </c>
      <c r="J14" t="s">
        <v>89</v>
      </c>
      <c r="K14">
        <f>IF(AND(Dashboard!$B$6="All",Dashboard!$E$6="All"),COUNTIF(Data!$D$2:$D$61,$J14),IF(Dashboard!$B$6="All",COUNTIFS(Data!$D$2:$D$61,$J14,Data!$G$2:$G$61,Dashboard!$E$6),IF(Dashboard!$E$6="All",COUNTIFS(Data!$D$2:$D$61,$J14,Data!$B$2:$B$61,Dashboard!$B$6),COUNTIFS(Data!$D$2:$D$61,$J14,Data!$B$2:$B$61,Dashboard!$B$6,Data!$G$2:$G$61,Dashboard!$E$6))))</f>
        <v>6</v>
      </c>
      <c r="M14">
        <v>2017</v>
      </c>
      <c r="N14">
        <f>IF(AND(Dashboard!$B$6="All",Dashboard!$E$6="All"),COUNTIF(Data!$K$2:$K$61,$M14),IF(Dashboard!$B$6="All",COUNTIFS(Data!$K$2:$K$61,$M14,Data!$G$2:$G$61,Dashboard!$E$6),IF(Dashboard!$E$6="All",COUNTIFS(Data!$K$2:$K$61,$M14,Data!$B$2:$B$61,Dashboard!$B$6),COUNTIFS(Data!$K$2:$K$61,$M14,Data!$B$2:$B$61,Dashboard!$B$6,Data!$G$2:$G$61,Dashboard!$E$6))))</f>
        <v>24</v>
      </c>
      <c r="P14" t="s">
        <v>188</v>
      </c>
      <c r="Q14">
        <f>IF(Dashboard!$E$6="All",COUNTIFS(Data!$B$2:$B$61,"Movie",Data!$J$2:$J$61,"&gt;=90",Data!$J$2:$J$61,"&lt;120"),COUNTIFS(Data!$B$2:$B$61,"Movie",Data!$J$2:$J$61,"&gt;=90",Data!$J$2:$J$61,"&lt;120",Data!$G$2:$G$61,Dashboard!$E$6))</f>
        <v>22</v>
      </c>
      <c r="T14" t="s">
        <v>45</v>
      </c>
      <c r="U14" t="s">
        <v>99</v>
      </c>
      <c r="V14">
        <f>IF(AND(Dashboard!$B$6="All",Dashboard!$E$6="All"),COUNTIF(Data!$I$2:$I$61,$U14),IF(Dashboard!$B$6="All",COUNTIFS(Data!$I$2:$I$61,$U14,Data!$G$2:$G$61,Dashboard!$E$6),IF(Dashboard!$E$6="All",COUNTIFS(Data!$I$2:$I$61,$U14,Data!$B$2:$B$61,Dashboard!$B$6),COUNTIFS(Data!$I$2:$I$61,$U14,Data!$B$2:$B$61,Dashboard!$B$6,Data!$G$2:$G$61,Dashboard!$E$6))))</f>
        <v>8</v>
      </c>
      <c r="W14" t="s">
        <v>125</v>
      </c>
      <c r="X14">
        <f>IF(AND(Dashboard!$B$6="All",Dashboard!$E$6="All"),COUNTIF(Data!$D$2:$D$61,$W14),IF(Dashboard!$B$6="All",COUNTIFS(Data!$D$2:$D$61,$W14,Data!$G$2:$G$61,Dashboard!$E$6),IF(Dashboard!$E$6="All",COUNTIFS(Data!$D$2:$D$61,$W14,Data!$B$2:$B$61,Dashboard!$B$6),COUNTIFS(Data!$D$2:$D$61,$W14,Data!$B$2:$B$61,Dashboard!$B$6,Data!$G$2:$G$61,Dashboard!$E$6))))</f>
        <v>4</v>
      </c>
    </row>
    <row r="15" spans="1:24">
      <c r="D15" t="s">
        <v>101</v>
      </c>
      <c r="E15">
        <f>IF(AND(Dashboard!$B$6="All",Dashboard!$E$6="All"),COUNTIF(Data!$G$2:$G$61,$D15),IF(Dashboard!$B$6="All",COUNTIFS(Data!$G$2:$G$61,$D15,Data!$G$2:$G$61,Dashboard!$E$6),IF(Dashboard!$E$6="All",COUNTIFS(Data!$G$2:$G$61,$D15,Data!$B$2:$B$61,Dashboard!$B$6),COUNTIFS(Data!$G$2:$G$61,$D15,Data!$B$2:$B$61,Dashboard!$B$6,Data!$G$2:$G$61,Dashboard!$E$6))))</f>
        <v>3</v>
      </c>
      <c r="G15" t="s">
        <v>57</v>
      </c>
      <c r="H15">
        <f>IF(AND(Dashboard!$B$6="All",Dashboard!$E$6="All"),COUNTIF(Data!$I$2:$I$61,$G15),IF(Dashboard!$B$6="All",COUNTIFS(Data!$I$2:$I$61,$G15,Data!$G$2:$G$61,Dashboard!$E$6),IF(Dashboard!$E$6="All",COUNTIFS(Data!$I$2:$I$61,$G15,Data!$B$2:$B$61,Dashboard!$B$6),COUNTIFS(Data!$I$2:$I$61,$G15,Data!$B$2:$B$61,Dashboard!$B$6,Data!$G$2:$G$61,Dashboard!$E$6))))</f>
        <v>1</v>
      </c>
      <c r="J15" t="s">
        <v>125</v>
      </c>
      <c r="K15">
        <f>IF(AND(Dashboard!$B$6="All",Dashboard!$E$6="All"),COUNTIF(Data!$D$2:$D$61,$J15),IF(Dashboard!$B$6="All",COUNTIFS(Data!$D$2:$D$61,$J15,Data!$G$2:$G$61,Dashboard!$E$6),IF(Dashboard!$E$6="All",COUNTIFS(Data!$D$2:$D$61,$J15,Data!$B$2:$B$61,Dashboard!$B$6),COUNTIFS(Data!$D$2:$D$61,$J15,Data!$B$2:$B$61,Dashboard!$B$6,Data!$G$2:$G$61,Dashboard!$E$6))))</f>
        <v>4</v>
      </c>
      <c r="M15">
        <v>2018</v>
      </c>
      <c r="N15">
        <f>IF(AND(Dashboard!$B$6="All",Dashboard!$E$6="All"),COUNTIF(Data!$K$2:$K$61,$M15),IF(Dashboard!$B$6="All",COUNTIFS(Data!$K$2:$K$61,$M15,Data!$G$2:$G$61,Dashboard!$E$6),IF(Dashboard!$E$6="All",COUNTIFS(Data!$K$2:$K$61,$M15,Data!$B$2:$B$61,Dashboard!$B$6),COUNTIFS(Data!$K$2:$K$61,$M15,Data!$B$2:$B$61,Dashboard!$B$6,Data!$G$2:$G$61,Dashboard!$E$6))))</f>
        <v>16</v>
      </c>
      <c r="P15" t="s">
        <v>189</v>
      </c>
      <c r="Q15">
        <f>IF(Dashboard!$E$6="All",COUNTIFS(Data!$B$2:$B$61,"Movie",Data!$J$2:$J$61,"&gt;=120",Data!$J$2:$J$61,"&lt;150"),COUNTIFS(Data!$B$2:$B$61,"Movie",Data!$J$2:$J$61,"&gt;=120",Data!$J$2:$J$61,"&lt;150",Data!$G$2:$G$61,Dashboard!$E$6))</f>
        <v>2</v>
      </c>
      <c r="U15" t="s">
        <v>105</v>
      </c>
      <c r="V15">
        <f>IF(AND(Dashboard!$B$6="All",Dashboard!$E$6="All"),COUNTIF(Data!$I$2:$I$61,$U15),IF(Dashboard!$B$6="All",COUNTIFS(Data!$I$2:$I$61,$U15,Data!$G$2:$G$61,Dashboard!$E$6),IF(Dashboard!$E$6="All",COUNTIFS(Data!$I$2:$I$61,$U15,Data!$B$2:$B$61,Dashboard!$B$6),COUNTIFS(Data!$I$2:$I$61,$U15,Data!$B$2:$B$61,Dashboard!$B$6,Data!$G$2:$G$61,Dashboard!$E$6))))</f>
        <v>8</v>
      </c>
      <c r="W15" t="s">
        <v>39</v>
      </c>
      <c r="X15">
        <f>IF(AND(Dashboard!$B$6="All",Dashboard!$E$6="All"),COUNTIF(Data!$D$2:$D$61,$W15),IF(Dashboard!$B$6="All",COUNTIFS(Data!$D$2:$D$61,$W15,Data!$G$2:$G$61,Dashboard!$E$6),IF(Dashboard!$E$6="All",COUNTIFS(Data!$D$2:$D$61,$W15,Data!$B$2:$B$61,Dashboard!$B$6),COUNTIFS(Data!$D$2:$D$61,$W15,Data!$B$2:$B$61,Dashboard!$B$6,Data!$G$2:$G$61,Dashboard!$E$6))))</f>
        <v>3</v>
      </c>
    </row>
    <row r="16" spans="1:24">
      <c r="D16" t="s">
        <v>60</v>
      </c>
      <c r="E16">
        <f>IF(AND(Dashboard!$B$6="All",Dashboard!$E$6="All"),COUNTIF(Data!$G$2:$G$61,$D16),IF(Dashboard!$B$6="All",COUNTIFS(Data!$G$2:$G$61,$D16,Data!$G$2:$G$61,Dashboard!$E$6),IF(Dashboard!$E$6="All",COUNTIFS(Data!$G$2:$G$61,$D16,Data!$B$2:$B$61,Dashboard!$B$6),COUNTIFS(Data!$G$2:$G$61,$D16,Data!$B$2:$B$61,Dashboard!$B$6,Data!$G$2:$G$61,Dashboard!$E$6))))</f>
        <v>6</v>
      </c>
      <c r="G16" t="s">
        <v>92</v>
      </c>
      <c r="H16">
        <f>IF(AND(Dashboard!$B$6="All",Dashboard!$E$6="All"),COUNTIF(Data!$I$2:$I$61,$G16),IF(Dashboard!$B$6="All",COUNTIFS(Data!$I$2:$I$61,$G16,Data!$G$2:$G$61,Dashboard!$E$6),IF(Dashboard!$E$6="All",COUNTIFS(Data!$I$2:$I$61,$G16,Data!$B$2:$B$61,Dashboard!$B$6),COUNTIFS(Data!$I$2:$I$61,$G16,Data!$B$2:$B$61,Dashboard!$B$6,Data!$G$2:$G$61,Dashboard!$E$6))))</f>
        <v>1</v>
      </c>
      <c r="J16" t="s">
        <v>56</v>
      </c>
      <c r="K16">
        <f>IF(AND(Dashboard!$B$6="All",Dashboard!$E$6="All"),COUNTIF(Data!$D$2:$D$61,$J16),IF(Dashboard!$B$6="All",COUNTIFS(Data!$D$2:$D$61,$J16,Data!$G$2:$G$61,Dashboard!$E$6),IF(Dashboard!$E$6="All",COUNTIFS(Data!$D$2:$D$61,$J16,Data!$B$2:$B$61,Dashboard!$B$6),COUNTIFS(Data!$D$2:$D$61,$J16,Data!$B$2:$B$61,Dashboard!$B$6,Data!$G$2:$G$61,Dashboard!$E$6))))</f>
        <v>3</v>
      </c>
      <c r="M16">
        <v>2019</v>
      </c>
      <c r="N16">
        <f>IF(AND(Dashboard!$B$6="All",Dashboard!$E$6="All"),COUNTIF(Data!$K$2:$K$61,$M16),IF(Dashboard!$B$6="All",COUNTIFS(Data!$K$2:$K$61,$M16,Data!$G$2:$G$61,Dashboard!$E$6),IF(Dashboard!$E$6="All",COUNTIFS(Data!$K$2:$K$61,$M16,Data!$B$2:$B$61,Dashboard!$B$6),COUNTIFS(Data!$K$2:$K$61,$M16,Data!$B$2:$B$61,Dashboard!$B$6,Data!$G$2:$G$61,Dashboard!$E$6))))</f>
        <v>9</v>
      </c>
      <c r="P16" t="s">
        <v>190</v>
      </c>
      <c r="Q16">
        <f>IF(Dashboard!$E$6="All",COUNTIFS(Data!$B$2:$B$61,"Movie",Data!$J$2:$J$61,"&gt;=150",Data!$J$2:$J$61,"&lt;180"),COUNTIFS(Data!$B$2:$B$61,"Movie",Data!$J$2:$J$61,"&gt;=150",Data!$J$2:$J$61,"&lt;180",Data!$G$2:$G$61,Dashboard!$E$6))</f>
        <v>0</v>
      </c>
      <c r="U16" t="s">
        <v>69</v>
      </c>
      <c r="V16">
        <f>IF(AND(Dashboard!$B$6="All",Dashboard!$E$6="All"),COUNTIF(Data!$I$2:$I$61,$U16),IF(Dashboard!$B$6="All",COUNTIFS(Data!$I$2:$I$61,$U16,Data!$G$2:$G$61,Dashboard!$E$6),IF(Dashboard!$E$6="All",COUNTIFS(Data!$I$2:$I$61,$U16,Data!$B$2:$B$61,Dashboard!$B$6),COUNTIFS(Data!$I$2:$I$61,$U16,Data!$B$2:$B$61,Dashboard!$B$6,Data!$G$2:$G$61,Dashboard!$E$6))))</f>
        <v>5</v>
      </c>
      <c r="W16" t="s">
        <v>56</v>
      </c>
      <c r="X16">
        <f>IF(AND(Dashboard!$B$6="All",Dashboard!$E$6="All"),COUNTIF(Data!$D$2:$D$61,$W16),IF(Dashboard!$B$6="All",COUNTIFS(Data!$D$2:$D$61,$W16,Data!$G$2:$G$61,Dashboard!$E$6),IF(Dashboard!$E$6="All",COUNTIFS(Data!$D$2:$D$61,$W16,Data!$B$2:$B$61,Dashboard!$B$6),COUNTIFS(Data!$D$2:$D$61,$W16,Data!$B$2:$B$61,Dashboard!$B$6,Data!$G$2:$G$61,Dashboard!$E$6))))</f>
        <v>3</v>
      </c>
    </row>
    <row r="17" spans="4:24">
      <c r="D17" t="s">
        <v>52</v>
      </c>
      <c r="E17">
        <f>IF(AND(Dashboard!$B$6="All",Dashboard!$E$6="All"),COUNTIF(Data!$G$2:$G$61,$D17),IF(Dashboard!$B$6="All",COUNTIFS(Data!$G$2:$G$61,$D17,Data!$G$2:$G$61,Dashboard!$E$6),IF(Dashboard!$E$6="All",COUNTIFS(Data!$G$2:$G$61,$D17,Data!$B$2:$B$61,Dashboard!$B$6),COUNTIFS(Data!$G$2:$G$61,$D17,Data!$B$2:$B$61,Dashboard!$B$6,Data!$G$2:$G$61,Dashboard!$E$6))))</f>
        <v>10</v>
      </c>
      <c r="G17" t="s">
        <v>99</v>
      </c>
      <c r="H17">
        <f>IF(AND(Dashboard!$B$6="All",Dashboard!$E$6="All"),COUNTIF(Data!$I$2:$I$61,$G17),IF(Dashboard!$B$6="All",COUNTIFS(Data!$I$2:$I$61,$G17,Data!$G$2:$G$61,Dashboard!$E$6),IF(Dashboard!$E$6="All",COUNTIFS(Data!$I$2:$I$61,$G17,Data!$B$2:$B$61,Dashboard!$B$6),COUNTIFS(Data!$I$2:$I$61,$G17,Data!$B$2:$B$61,Dashboard!$B$6,Data!$G$2:$G$61,Dashboard!$E$6))))</f>
        <v>8</v>
      </c>
      <c r="J17" t="s">
        <v>149</v>
      </c>
      <c r="K17">
        <f>IF(AND(Dashboard!$B$6="All",Dashboard!$E$6="All"),COUNTIF(Data!$D$2:$D$61,$J17),IF(Dashboard!$B$6="All",COUNTIFS(Data!$D$2:$D$61,$J17,Data!$G$2:$G$61,Dashboard!$E$6),IF(Dashboard!$E$6="All",COUNTIFS(Data!$D$2:$D$61,$J17,Data!$B$2:$B$61,Dashboard!$B$6),COUNTIFS(Data!$D$2:$D$61,$J17,Data!$B$2:$B$61,Dashboard!$B$6,Data!$G$2:$G$61,Dashboard!$E$6))))</f>
        <v>2</v>
      </c>
      <c r="P17" t="s">
        <v>191</v>
      </c>
      <c r="Q17">
        <f>IF(Dashboard!$E$6="All",COUNTIFS(Data!$B$2:$B$61,"Movie",Data!$J$2:$J$61,"&gt;=180"),COUNTIFS(Data!$B$2:$B$61,"Movie",Data!$J$2:$J$61,"&gt;=180",Data!$G$2:$G$61,Dashboard!$E$6))</f>
        <v>0</v>
      </c>
      <c r="U17" t="s">
        <v>42</v>
      </c>
      <c r="V17">
        <f>IF(AND(Dashboard!$B$6="All",Dashboard!$E$6="All"),COUNTIF(Data!$I$2:$I$61,$U17),IF(Dashboard!$B$6="All",COUNTIFS(Data!$I$2:$I$61,$U17,Data!$G$2:$G$61,Dashboard!$E$6),IF(Dashboard!$E$6="All",COUNTIFS(Data!$I$2:$I$61,$U17,Data!$B$2:$B$61,Dashboard!$B$6),COUNTIFS(Data!$I$2:$I$61,$U17,Data!$B$2:$B$61,Dashboard!$B$6,Data!$G$2:$G$61,Dashboard!$E$6))))</f>
        <v>4</v>
      </c>
      <c r="W17" t="s">
        <v>149</v>
      </c>
      <c r="X17">
        <f>IF(AND(Dashboard!$B$6="All",Dashboard!$E$6="All"),COUNTIF(Data!$D$2:$D$61,$W17),IF(Dashboard!$B$6="All",COUNTIFS(Data!$D$2:$D$61,$W17,Data!$G$2:$G$61,Dashboard!$E$6),IF(Dashboard!$E$6="All",COUNTIFS(Data!$D$2:$D$61,$W17,Data!$B$2:$B$61,Dashboard!$B$6),COUNTIFS(Data!$D$2:$D$61,$W17,Data!$B$2:$B$61,Dashboard!$B$6,Data!$G$2:$G$61,Dashboard!$E$6))))</f>
        <v>2</v>
      </c>
    </row>
    <row r="18" spans="4:24">
      <c r="D18" t="s">
        <v>132</v>
      </c>
      <c r="E18">
        <f>IF(AND(Dashboard!$B$6="All",Dashboard!$E$6="All"),COUNTIF(Data!$G$2:$G$61,$D18),IF(Dashboard!$B$6="All",COUNTIFS(Data!$G$2:$G$61,$D18,Data!$G$2:$G$61,Dashboard!$E$6),IF(Dashboard!$E$6="All",COUNTIFS(Data!$G$2:$G$61,$D18,Data!$B$2:$B$61,Dashboard!$B$6),COUNTIFS(Data!$G$2:$G$61,$D18,Data!$B$2:$B$61,Dashboard!$B$6,Data!$G$2:$G$61,Dashboard!$E$6))))</f>
        <v>2</v>
      </c>
      <c r="G18" t="s">
        <v>67</v>
      </c>
      <c r="H18">
        <f>IF(AND(Dashboard!$B$6="All",Dashboard!$E$6="All"),COUNTIF(Data!$I$2:$I$61,$G18),IF(Dashboard!$B$6="All",COUNTIFS(Data!$I$2:$I$61,$G18,Data!$G$2:$G$61,Dashboard!$E$6),IF(Dashboard!$E$6="All",COUNTIFS(Data!$I$2:$I$61,$G18,Data!$B$2:$B$61,Dashboard!$B$6),COUNTIFS(Data!$I$2:$I$61,$G18,Data!$B$2:$B$61,Dashboard!$B$6,Data!$G$2:$G$61,Dashboard!$E$6))))</f>
        <v>3</v>
      </c>
      <c r="J18" t="s">
        <v>192</v>
      </c>
      <c r="K18">
        <f>IF(AND(Dashboard!$B$6="All",Dashboard!$E$6="All"),COUNTIF(Data!$D$2:$D$61,$J18),IF(Dashboard!$B$6="All",COUNTIFS(Data!$D$2:$D$61,$J18,Data!$G$2:$G$61,Dashboard!$E$6),IF(Dashboard!$E$6="All",COUNTIFS(Data!$D$2:$D$61,$J18,Data!$B$2:$B$61,Dashboard!$B$6),COUNTIFS(Data!$D$2:$D$61,$J18,Data!$B$2:$B$61,Dashboard!$B$6,Data!$G$2:$G$61,Dashboard!$E$6))))</f>
        <v>0</v>
      </c>
      <c r="U18" t="s">
        <v>103</v>
      </c>
      <c r="V18">
        <f>IF(AND(Dashboard!$B$6="All",Dashboard!$E$6="All"),COUNTIF(Data!$I$2:$I$61,$U18),IF(Dashboard!$B$6="All",COUNTIFS(Data!$I$2:$I$61,$U18,Data!$G$2:$G$61,Dashboard!$E$6),IF(Dashboard!$E$6="All",COUNTIFS(Data!$I$2:$I$61,$U18,Data!$B$2:$B$61,Dashboard!$B$6),COUNTIFS(Data!$I$2:$I$61,$U18,Data!$B$2:$B$61,Dashboard!$B$6,Data!$G$2:$G$61,Dashboard!$E$6))))</f>
        <v>4</v>
      </c>
    </row>
    <row r="19" spans="4:24">
      <c r="D19" t="s">
        <v>40</v>
      </c>
      <c r="E19">
        <f>IF(AND(Dashboard!$B$6="All",Dashboard!$E$6="All"),COUNTIF(Data!$G$2:$G$61,$D19),IF(Dashboard!$B$6="All",COUNTIFS(Data!$G$2:$G$61,$D19,Data!$G$2:$G$61,Dashboard!$E$6),IF(Dashboard!$E$6="All",COUNTIFS(Data!$G$2:$G$61,$D19,Data!$B$2:$B$61,Dashboard!$B$6),COUNTIFS(Data!$G$2:$G$61,$D19,Data!$B$2:$B$61,Dashboard!$B$6,Data!$G$2:$G$61,Dashboard!$E$6))))</f>
        <v>19</v>
      </c>
      <c r="G19" t="s">
        <v>105</v>
      </c>
      <c r="H19">
        <f>IF(AND(Dashboard!$B$6="All",Dashboard!$E$6="All"),COUNTIF(Data!$I$2:$I$61,$G19),IF(Dashboard!$B$6="All",COUNTIFS(Data!$I$2:$I$61,$G19,Data!$G$2:$G$61,Dashboard!$E$6),IF(Dashboard!$E$6="All",COUNTIFS(Data!$I$2:$I$61,$G19,Data!$B$2:$B$61,Dashboard!$B$6),COUNTIFS(Data!$I$2:$I$61,$G19,Data!$B$2:$B$61,Dashboard!$B$6,Data!$G$2:$G$61,Dashboard!$E$6))))</f>
        <v>8</v>
      </c>
      <c r="J19" t="s">
        <v>71</v>
      </c>
      <c r="K19">
        <f>IF(AND(Dashboard!$B$6="All",Dashboard!$E$6="All"),COUNTIF(Data!$D$2:$D$61,$J19),IF(Dashboard!$B$6="All",COUNTIFS(Data!$D$2:$D$61,$J19,Data!$G$2:$G$61,Dashboard!$E$6),IF(Dashboard!$E$6="All",COUNTIFS(Data!$D$2:$D$61,$J19,Data!$B$2:$B$61,Dashboard!$B$6),COUNTIFS(Data!$D$2:$D$61,$J19,Data!$B$2:$B$61,Dashboard!$B$6,Data!$G$2:$G$61,Dashboard!$E$6))))</f>
        <v>10</v>
      </c>
      <c r="U19" t="s">
        <v>109</v>
      </c>
      <c r="V19">
        <f>IF(AND(Dashboard!$B$6="All",Dashboard!$E$6="All"),COUNTIF(Data!$I$2:$I$61,$U19),IF(Dashboard!$B$6="All",COUNTIFS(Data!$I$2:$I$61,$U19,Data!$G$2:$G$61,Dashboard!$E$6),IF(Dashboard!$E$6="All",COUNTIFS(Data!$I$2:$I$61,$U19,Data!$B$2:$B$61,Dashboard!$B$6),COUNTIFS(Data!$I$2:$I$61,$U19,Data!$B$2:$B$61,Dashboard!$B$6,Data!$G$2:$G$61,Dashboard!$E$6))))</f>
        <v>4</v>
      </c>
    </row>
    <row r="20" spans="4:24">
      <c r="D20" t="s">
        <v>33</v>
      </c>
      <c r="E20">
        <f>IF(AND(Dashboard!$B$6="All",Dashboard!$E$6="All"),COUNTIF(Data!$G$2:$G$61,$D20),IF(Dashboard!$B$6="All",COUNTIFS(Data!$G$2:$G$61,$D20,Data!$G$2:$G$61,Dashboard!$E$6),IF(Dashboard!$E$6="All",COUNTIFS(Data!$G$2:$G$61,$D20,Data!$B$2:$B$61,Dashboard!$B$6),COUNTIFS(Data!$G$2:$G$61,$D20,Data!$B$2:$B$61,Dashboard!$B$6,Data!$G$2:$G$61,Dashboard!$E$6))))</f>
        <v>5</v>
      </c>
      <c r="G20" t="s">
        <v>103</v>
      </c>
      <c r="H20">
        <f>IF(AND(Dashboard!$B$6="All",Dashboard!$E$6="All"),COUNTIF(Data!$I$2:$I$61,$G20),IF(Dashboard!$B$6="All",COUNTIFS(Data!$I$2:$I$61,$G20,Data!$G$2:$G$61,Dashboard!$E$6),IF(Dashboard!$E$6="All",COUNTIFS(Data!$I$2:$I$61,$G20,Data!$B$2:$B$61,Dashboard!$B$6),COUNTIFS(Data!$I$2:$I$61,$G20,Data!$B$2:$B$61,Dashboard!$B$6,Data!$G$2:$G$61,Dashboard!$E$6))))</f>
        <v>4</v>
      </c>
    </row>
    <row r="21" spans="4:24">
      <c r="D21" t="s">
        <v>81</v>
      </c>
      <c r="E21">
        <f>IF(AND(Dashboard!$B$6="All",Dashboard!$E$6="All"),COUNTIF(Data!$G$2:$G$61,$D21),IF(Dashboard!$B$6="All",COUNTIFS(Data!$G$2:$G$61,$D21,Data!$G$2:$G$61,Dashboard!$E$6),IF(Dashboard!$E$6="All",COUNTIFS(Data!$G$2:$G$61,$D21,Data!$B$2:$B$61,Dashboard!$B$6),COUNTIFS(Data!$G$2:$G$61,$D21,Data!$B$2:$B$61,Dashboard!$B$6,Data!$G$2:$G$61,Dashboard!$E$6))))</f>
        <v>1</v>
      </c>
      <c r="G21" t="s">
        <v>62</v>
      </c>
      <c r="H21">
        <f>IF(AND(Dashboard!$B$6="All",Dashboard!$E$6="All"),COUNTIF(Data!$I$2:$I$61,$G21),IF(Dashboard!$B$6="All",COUNTIFS(Data!$I$2:$I$61,$G21,Data!$G$2:$G$61,Dashboard!$E$6),IF(Dashboard!$E$6="All",COUNTIFS(Data!$I$2:$I$61,$G21,Data!$B$2:$B$61,Dashboard!$B$6),COUNTIFS(Data!$I$2:$I$61,$G21,Data!$B$2:$B$61,Dashboard!$B$6,Data!$G$2:$G$61,Dashboard!$E$6))))</f>
        <v>1</v>
      </c>
    </row>
    <row r="22" spans="4:24">
      <c r="D22" t="s">
        <v>50</v>
      </c>
      <c r="E22">
        <f>IF(AND(Dashboard!$B$6="All",Dashboard!$E$6="All"),COUNTIF(Data!$G$2:$G$61,$D22),IF(Dashboard!$B$6="All",COUNTIFS(Data!$G$2:$G$61,$D22,Data!$G$2:$G$61,Dashboard!$E$6),IF(Dashboard!$E$6="All",COUNTIFS(Data!$G$2:$G$61,$D22,Data!$B$2:$B$61,Dashboard!$B$6),COUNTIFS(Data!$G$2:$G$61,$D22,Data!$B$2:$B$61,Dashboard!$B$6,Data!$G$2:$G$61,Dashboard!$E$6))))</f>
        <v>7</v>
      </c>
      <c r="G22" t="s">
        <v>109</v>
      </c>
      <c r="H22">
        <f>IF(AND(Dashboard!$B$6="All",Dashboard!$E$6="All"),COUNTIF(Data!$I$2:$I$61,$G22),IF(Dashboard!$B$6="All",COUNTIFS(Data!$I$2:$I$61,$G22,Data!$G$2:$G$61,Dashboard!$E$6),IF(Dashboard!$E$6="All",COUNTIFS(Data!$I$2:$I$61,$G22,Data!$B$2:$B$61,Dashboard!$B$6),COUNTIFS(Data!$I$2:$I$61,$G22,Data!$B$2:$B$61,Dashboard!$B$6,Data!$G$2:$G$61,Dashboard!$E$6))))</f>
        <v>4</v>
      </c>
    </row>
    <row r="23" spans="4:24">
      <c r="D23" t="s">
        <v>45</v>
      </c>
      <c r="E23">
        <f>IF(AND(Dashboard!$B$6="All",Dashboard!$E$6="All"),COUNTIF(Data!$G$2:$G$61,$D23),IF(Dashboard!$B$6="All",COUNTIFS(Data!$G$2:$G$61,$D23,Data!$G$2:$G$61,Dashboard!$E$6),IF(Dashboard!$E$6="All",COUNTIFS(Data!$G$2:$G$61,$D23,Data!$B$2:$B$61,Dashboard!$B$6),COUNTIFS(Data!$G$2:$G$61,$D23,Data!$B$2:$B$61,Dashboard!$B$6,Data!$G$2:$G$61,Dashboard!$E$6))))</f>
        <v>1</v>
      </c>
      <c r="G23" t="s">
        <v>47</v>
      </c>
      <c r="H23">
        <f>IF(AND(Dashboard!$B$6="All",Dashboard!$E$6="All"),COUNTIF(Data!$I$2:$I$61,$G23),IF(Dashboard!$B$6="All",COUNTIFS(Data!$I$2:$I$61,$G23,Data!$G$2:$G$61,Dashboard!$E$6),IF(Dashboard!$E$6="All",COUNTIFS(Data!$I$2:$I$61,$G23,Data!$B$2:$B$61,Dashboard!$B$6),COUNTIFS(Data!$I$2:$I$61,$G23,Data!$B$2:$B$61,Dashboard!$B$6,Data!$G$2:$G$61,Dashboard!$E$6))))</f>
        <v>2</v>
      </c>
    </row>
    <row r="24" spans="4:24">
      <c r="G24" t="s">
        <v>42</v>
      </c>
      <c r="H24">
        <f>IF(AND(Dashboard!$B$6="All",Dashboard!$E$6="All"),COUNTIF(Data!$I$2:$I$61,$G24),IF(Dashboard!$B$6="All",COUNTIFS(Data!$I$2:$I$61,$G24,Data!$G$2:$G$61,Dashboard!$E$6),IF(Dashboard!$E$6="All",COUNTIFS(Data!$I$2:$I$61,$G24,Data!$B$2:$B$61,Dashboard!$B$6),COUNTIFS(Data!$I$2:$I$61,$G24,Data!$B$2:$B$61,Dashboard!$B$6,Data!$G$2:$G$61,Dashboard!$E$6))))</f>
        <v>4</v>
      </c>
    </row>
    <row r="25" spans="4:24">
      <c r="G25" t="s">
        <v>154</v>
      </c>
      <c r="H25">
        <f>IF(AND(Dashboard!$B$6="All",Dashboard!$E$6="All"),COUNTIF(Data!$I$2:$I$61,$G25),IF(Dashboard!$B$6="All",COUNTIFS(Data!$I$2:$I$61,$G25,Data!$G$2:$G$61,Dashboard!$E$6),IF(Dashboard!$E$6="All",COUNTIFS(Data!$I$2:$I$61,$G25,Data!$B$2:$B$61,Dashboard!$B$6),COUNTIFS(Data!$I$2:$I$61,$G25,Data!$B$2:$B$61,Dashboard!$B$6,Data!$G$2:$G$61,Dashboard!$E$6))))</f>
        <v>1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selection sqref="A1:H2"/>
    </sheetView>
  </sheetViews>
  <sheetFormatPr defaultRowHeight="13.8"/>
  <cols>
    <col min="1" max="1" width="24" customWidth="1"/>
    <col min="2" max="2" width="62" customWidth="1"/>
  </cols>
  <sheetData>
    <row r="1" spans="1:8">
      <c r="A1" s="45" t="s">
        <v>193</v>
      </c>
      <c r="B1" s="45"/>
      <c r="C1" s="45"/>
      <c r="D1" s="45"/>
      <c r="E1" s="45"/>
      <c r="F1" s="45"/>
      <c r="G1" s="45"/>
      <c r="H1" s="45"/>
    </row>
    <row r="2" spans="1:8">
      <c r="A2" s="45"/>
      <c r="B2" s="45"/>
      <c r="C2" s="45"/>
      <c r="D2" s="45"/>
      <c r="E2" s="45"/>
      <c r="F2" s="45"/>
      <c r="G2" s="45"/>
      <c r="H2" s="45"/>
    </row>
    <row r="4" spans="1:8">
      <c r="A4" s="6" t="s">
        <v>194</v>
      </c>
      <c r="B4" s="6" t="s">
        <v>195</v>
      </c>
    </row>
    <row r="5" spans="1:8">
      <c r="A5" s="7" t="s">
        <v>196</v>
      </c>
      <c r="B5" s="12" t="s">
        <v>197</v>
      </c>
    </row>
    <row r="6" spans="1:8">
      <c r="A6" s="7" t="s">
        <v>198</v>
      </c>
      <c r="B6" s="12" t="s">
        <v>199</v>
      </c>
    </row>
    <row r="7" spans="1:8">
      <c r="A7" s="7" t="s">
        <v>200</v>
      </c>
      <c r="B7" s="12" t="s">
        <v>201</v>
      </c>
    </row>
    <row r="8" spans="1:8">
      <c r="A8" s="7" t="s">
        <v>202</v>
      </c>
      <c r="B8" s="12" t="s">
        <v>203</v>
      </c>
    </row>
    <row r="9" spans="1:8">
      <c r="A9" s="7" t="s">
        <v>204</v>
      </c>
      <c r="B9" s="12" t="s">
        <v>205</v>
      </c>
    </row>
    <row r="12" spans="1:8">
      <c r="A12" s="6" t="s">
        <v>206</v>
      </c>
      <c r="B12" s="6" t="s">
        <v>207</v>
      </c>
    </row>
    <row r="13" spans="1:8">
      <c r="A13" s="7" t="s">
        <v>208</v>
      </c>
      <c r="B13" s="12" t="s">
        <v>209</v>
      </c>
    </row>
    <row r="14" spans="1:8">
      <c r="A14" s="7" t="s">
        <v>184</v>
      </c>
      <c r="B14" s="12" t="s">
        <v>210</v>
      </c>
    </row>
    <row r="15" spans="1:8">
      <c r="A15" s="7" t="s">
        <v>211</v>
      </c>
      <c r="B15" s="12" t="s">
        <v>212</v>
      </c>
    </row>
    <row r="16" spans="1:8">
      <c r="A16" s="7" t="s">
        <v>185</v>
      </c>
      <c r="B16" s="12" t="s">
        <v>213</v>
      </c>
    </row>
    <row r="17" spans="1:2">
      <c r="A17" s="7" t="s">
        <v>214</v>
      </c>
      <c r="B17" s="12" t="s">
        <v>215</v>
      </c>
    </row>
    <row r="18" spans="1:2">
      <c r="A18" s="7" t="s">
        <v>216</v>
      </c>
      <c r="B18" s="12" t="s">
        <v>217</v>
      </c>
    </row>
    <row r="19" spans="1:2">
      <c r="A19" s="7" t="s">
        <v>218</v>
      </c>
      <c r="B19" s="12" t="s">
        <v>219</v>
      </c>
    </row>
    <row r="20" spans="1:2">
      <c r="A20" s="7" t="s">
        <v>220</v>
      </c>
      <c r="B20" s="12" t="s">
        <v>221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Analysis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AZEEM</dc:creator>
  <cp:lastModifiedBy>MOHAMMAD AZEEM</cp:lastModifiedBy>
  <dcterms:created xsi:type="dcterms:W3CDTF">2026-09-21T17:53:33Z</dcterms:created>
  <dcterms:modified xsi:type="dcterms:W3CDTF">2026-09-21T17:54:56Z</dcterms:modified>
</cp:coreProperties>
</file>