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85b07778e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b91cc3c3a2b48e5"/>
    <x:sheet xmlns:r="http://schemas.openxmlformats.org/officeDocument/2006/relationships" name="Data" sheetId="2" r:id="Rcadc75237dc846c7"/>
    <x:sheet xmlns:r="http://schemas.openxmlformats.org/officeDocument/2006/relationships" name="Summary" sheetId="3" r:id="R226498314c324b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₹#,##0"/>
    <x:numFmt numFmtId="203" formatCode="0.0"/>
    <x:numFmt numFmtId="204" formatCode="0.00"/>
    <x:numFmt numFmtId="205" formatCode="@"/>
  </x:numFmts>
  <x:fonts count="12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17365D"/>
      <x:name val="Carlito"/>
    </x:font>
    <x:font>
      <x:b/>
      <x:sz val="20"/>
      <x:color rgb="FF17365D"/>
      <x:name val="Carlito"/>
    </x:font>
    <x:font>
      <x:i/>
      <x:sz val="11"/>
      <x:color rgb="FF5B6B7A"/>
      <x:name val="Carlito"/>
    </x:font>
    <x:font>
      <x:b/>
      <x:sz val="10"/>
      <x:color rgb="FF17365D"/>
      <x:name val="Carlito"/>
    </x:font>
    <x:font>
      <x:b/>
      <x:sz val="18"/>
      <x:color rgb="FF0B5CAB"/>
      <x:name val="Carlito"/>
    </x:font>
    <x:font>
      <x:i/>
      <x:sz val="9"/>
      <x:color rgb="FF64748B"/>
      <x:name val="Carlito"/>
    </x:font>
    <x:font>
      <x:b/>
      <x:sz val="18"/>
      <x:color rgb="FF17365D"/>
      <x:name val="Carlito"/>
    </x:font>
    <x:font>
      <x:i/>
      <x:sz val="10"/>
      <x:color rgb="FF5B6B7A"/>
      <x:name val="Carlito"/>
    </x:font>
    <x:font>
      <x:b/>
      <x:sz val="16"/>
      <x:color rgb="FF0B5CAB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D7EEF7"/>
      </x:patternFill>
    </x:fill>
    <x:fill>
      <x:patternFill patternType="solid">
        <x:fgColor rgb="FFFFFFFF"/>
      </x:patternFill>
    </x:fill>
    <x:fill>
      <x:patternFill patternType="solid">
        <x:fgColor rgb="FFF6FAFC"/>
      </x:patternFill>
    </x:fill>
    <x:fill>
      <x:patternFill patternType="solid">
        <x:fgColor rgb="FFEAF3F8"/>
      </x:patternFill>
    </x:fill>
    <x:fill>
      <x:patternFill patternType="solid">
        <x:fgColor rgb="FFF7FAFC"/>
      </x:patternFill>
    </x:fill>
    <x:fill>
      <x:patternFill patternType="solid">
        <x:fgColor rgb="FFEEF4F8"/>
      </x:patternFill>
    </x:fill>
  </x:fills>
  <x:borders count="2">
    <x:border/>
    <x:border/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4" borderId="0" xfId="0" applyNumberFormat="1" applyFont="1" applyFill="1" applyBorder="1"/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3" fillId="4" borderId="0" xfId="0" applyNumberFormat="1" applyFont="1" applyFill="1" applyBorder="1"/>
    <x:xf numFmtId="202" fontId="3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202" fontId="0" fillId="4" borderId="1" xfId="0" applyNumberFormat="1" applyFont="1" applyFill="1" applyBorder="1"/>
    <x:xf numFmtId="0" fontId="3" fillId="4" borderId="1" xfId="0" applyNumberFormat="1" applyFont="1" applyFill="1" applyBorder="1"/>
    <x:xf numFmtId="202" fontId="3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202" fontId="7" fillId="6" borderId="0" xfId="0" applyNumberFormat="1" applyFont="1" applyFill="1" applyBorder="1" applyAlignment="1">
      <x:alignment horizontal="center" vertical="center"/>
    </x:xf>
    <x:xf numFmtId="202" fontId="7" fillId="6" borderId="1" xfId="0" applyNumberFormat="1" applyFont="1" applyFill="1" applyBorder="1" applyAlignment="1">
      <x:alignment horizontal="center" vertical="center"/>
    </x:xf>
    <x:xf numFmtId="201" fontId="7" fillId="6" borderId="0" xfId="0" applyNumberFormat="1" applyFont="1" applyFill="1" applyBorder="1" applyAlignment="1">
      <x:alignment horizontal="center" vertical="center"/>
    </x:xf>
    <x:xf numFmtId="201" fontId="7" fillId="6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2" fillId="8" borderId="0" xfId="0" applyNumberFormat="1" applyFont="1" applyFill="1" applyBorder="1" applyAlignment="1">
      <x:alignment horizontal="left" vertical="center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horizontal="left"/>
    </x:xf>
    <x:xf numFmtId="0" fontId="2" fillId="8" borderId="1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202" fontId="7" fillId="9" borderId="0" xfId="0" applyNumberFormat="1" applyFont="1" applyFill="1" applyBorder="1" applyAlignment="1">
      <x:alignment horizontal="center" vertical="center"/>
    </x:xf>
    <x:xf numFmtId="201" fontId="7" fillId="9" borderId="0" xfId="0" applyNumberFormat="1" applyFont="1" applyFill="1" applyBorder="1" applyAlignment="1">
      <x:alignment horizontal="center" vertic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2" fillId="9" borderId="0" xfId="0" applyNumberFormat="1" applyFont="1" applyFill="1" applyBorder="1" applyAlignment="1">
      <x:alignment horizontal="left" vertic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/>
    </x:xf>
    <x:xf numFmtId="0" fontId="6" fillId="9" borderId="1" xfId="0" applyNumberFormat="1" applyFont="1" applyFill="1" applyBorder="1" applyAlignment="1">
      <x:alignment horizontal="center" vertical="center"/>
    </x:xf>
    <x:xf numFmtId="202" fontId="7" fillId="9" borderId="1" xfId="0" applyNumberFormat="1" applyFont="1" applyFill="1" applyBorder="1" applyAlignment="1">
      <x:alignment horizontal="center" vertical="center"/>
    </x:xf>
    <x:xf numFmtId="201" fontId="7" fillId="9" borderId="1" xfId="0" applyNumberFormat="1" applyFont="1" applyFill="1" applyBorder="1" applyAlignment="1">
      <x:alignment horizontal="center" vertical="center"/>
    </x:xf>
    <x:xf numFmtId="0" fontId="7" fillId="9" borderId="1" xfId="0" applyNumberFormat="1" applyFont="1" applyFill="1" applyBorder="1" applyAlignment="1">
      <x:alignment horizontal="center" vertical="center"/>
    </x:xf>
    <x:xf numFmtId="0" fontId="2" fillId="9" borderId="1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horizontal="left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10" fillId="9" borderId="0" xfId="0" applyNumberFormat="1" applyFont="1" applyFill="1" applyBorder="1" applyAlignment="1">
      <x:alignment horizontal="center"/>
    </x:xf>
    <x:xf numFmtId="0" fontId="10" fillId="9" borderId="0" xfId="0" applyNumberFormat="1" applyFont="1" applyFill="1" applyBorder="1" applyAlignment="1">
      <x:alignment horizontal="center" vertical="center"/>
    </x:xf>
    <x:xf numFmtId="0" fontId="10" fillId="9" borderId="1" xfId="0" applyNumberFormat="1" applyFont="1" applyFill="1" applyBorder="1" applyAlignment="1">
      <x:alignment horizontal="center"/>
    </x:xf>
    <x:xf numFmtId="0" fontId="10" fillId="9" borderId="1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6" fillId="10" borderId="1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6" fillId="10" borderId="1" xfId="0" applyNumberFormat="1" applyFont="1" applyFill="1" applyBorder="1"/>
    <x:xf numFmtId="0" fontId="6" fillId="10" borderId="1" xfId="0" applyNumberFormat="1" applyFont="1" applyFill="1" applyBorder="1" applyAlignment="1">
      <x:alignment horizontal="center"/>
    </x:xf>
    <x:xf numFmtId="202" fontId="11" fillId="6" borderId="0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/>
    <x:xf numFmtId="204" fontId="11" fillId="6" borderId="0" xfId="0" applyNumberFormat="1" applyFont="1" applyFill="1" applyBorder="1" applyAlignment="1">
      <x:alignment horizontal="center" vertical="center"/>
    </x:xf>
    <x:xf numFmtId="204" fontId="11" fillId="6" borderId="0" xfId="0" applyNumberFormat="1" applyFont="1" applyFill="1" applyBorder="1"/>
    <x:xf numFmtId="204" fontId="11" fillId="6" borderId="0" xfId="0" applyNumberFormat="1" applyFont="1" applyFill="1" applyBorder="1" applyAlignment="1">
      <x:alignment horizontal="center"/>
    </x:xf>
    <x:xf numFmtId="202" fontId="11" fillId="6" borderId="1" xfId="0" applyNumberFormat="1" applyFont="1" applyFill="1" applyBorder="1" applyAlignment="1">
      <x:alignment horizontal="center" vertical="center"/>
    </x:xf>
    <x:xf numFmtId="0" fontId="11" fillId="6" borderId="1" xfId="0" applyNumberFormat="1" applyFont="1" applyFill="1" applyBorder="1"/>
    <x:xf numFmtId="204" fontId="11" fillId="6" borderId="1" xfId="0" applyNumberFormat="1" applyFont="1" applyFill="1" applyBorder="1" applyAlignment="1">
      <x:alignment horizontal="center" vertical="center"/>
    </x:xf>
    <x:xf numFmtId="204" fontId="11" fillId="6" borderId="1" xfId="0" applyNumberFormat="1" applyFont="1" applyFill="1" applyBorder="1"/>
    <x:xf numFmtId="204" fontId="11" fillId="6" borderId="1" xfId="0" applyNumberFormat="1" applyFont="1" applyFill="1" applyBorder="1" applyAlignment="1">
      <x:alignment horizontal="center"/>
    </x:xf>
    <x:xf numFmtId="201" fontId="11" fillId="6" borderId="0" xfId="0" applyNumberFormat="1" applyFont="1" applyFill="1" applyBorder="1" applyAlignment="1">
      <x:alignment horizontal="center" vertical="center"/>
    </x:xf>
    <x:xf numFmtId="201" fontId="11" fillId="6" borderId="0" xfId="0" applyNumberFormat="1" applyFont="1" applyFill="1" applyBorder="1"/>
    <x:xf numFmtId="201" fontId="11" fillId="6" borderId="0" xfId="0" applyNumberFormat="1" applyFont="1" applyFill="1" applyBorder="1" applyAlignment="1">
      <x:alignment horizontal="center"/>
    </x:xf>
    <x:xf numFmtId="201" fontId="11" fillId="6" borderId="1" xfId="0" applyNumberFormat="1" applyFont="1" applyFill="1" applyBorder="1" applyAlignment="1">
      <x:alignment horizontal="center" vertical="center"/>
    </x:xf>
    <x:xf numFmtId="201" fontId="11" fillId="6" borderId="1" xfId="0" applyNumberFormat="1" applyFont="1" applyFill="1" applyBorder="1"/>
    <x:xf numFmtId="201" fontId="11" fillId="6" borderId="1" xfId="0" applyNumberFormat="1" applyFont="1" applyFill="1" applyBorder="1" applyAlignment="1">
      <x:alignment horizontal="center"/>
    </x:xf>
    <x:xf numFmtId="202" fontId="11" fillId="6" borderId="0" xfId="0" applyNumberFormat="1" applyFont="1" applyFill="1" applyBorder="1"/>
    <x:xf numFmtId="202" fontId="11" fillId="6" borderId="0" xfId="0" applyNumberFormat="1" applyFont="1" applyFill="1" applyBorder="1" applyAlignment="1">
      <x:alignment horizontal="center"/>
    </x:xf>
    <x:xf numFmtId="202" fontId="11" fillId="6" borderId="1" xfId="0" applyNumberFormat="1" applyFont="1" applyFill="1" applyBorder="1"/>
    <x:xf numFmtId="202" fontId="11" fillId="6" borderId="1" xfId="0" applyNumberFormat="1" applyFont="1" applyFill="1" applyBorder="1" applyAlignment="1">
      <x:alignment horizontal="center"/>
    </x:xf>
    <x:xf numFmtId="205" fontId="11" fillId="6" borderId="0" xfId="0" applyNumberFormat="1" applyFont="1" applyFill="1" applyBorder="1"/>
    <x:xf numFmtId="205" fontId="11" fillId="6" borderId="0" xfId="0" applyNumberFormat="1" applyFont="1" applyFill="1" applyBorder="1" applyAlignment="1">
      <x:alignment horizontal="center"/>
    </x:xf>
    <x:xf numFmtId="205" fontId="11" fillId="6" borderId="0" xfId="0" applyNumberFormat="1" applyFont="1" applyFill="1" applyBorder="1" applyAlignment="1">
      <x:alignment horizontal="center" vertical="center"/>
    </x:xf>
    <x:xf numFmtId="205" fontId="11" fillId="6" borderId="1" xfId="0" applyNumberFormat="1" applyFont="1" applyFill="1" applyBorder="1"/>
    <x:xf numFmtId="205" fontId="11" fillId="6" borderId="1" xfId="0" applyNumberFormat="1" applyFont="1" applyFill="1" applyBorder="1" applyAlignment="1">
      <x:alignment horizontal="center"/>
    </x:xf>
    <x:xf numFmtId="205" fontId="11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3a124c2db4315" /><Relationship Type="http://schemas.openxmlformats.org/officeDocument/2006/relationships/theme" Target="/xl/theme/theme1.xml" Id="Rf1a0b4b560e94da6" /><Relationship Type="http://schemas.openxmlformats.org/officeDocument/2006/relationships/sharedStrings" Target="/xl/sharedStrings.xml" Id="Rd76cbfb2c10448af" /><Relationship Type="http://schemas.openxmlformats.org/officeDocument/2006/relationships/worksheet" Target="/xl/worksheets/sheet1.xml" Id="R9b91cc3c3a2b48e5" /><Relationship Type="http://schemas.openxmlformats.org/officeDocument/2006/relationships/worksheet" Target="/xl/worksheets/sheet2.xml" Id="Rcadc75237dc846c7" /><Relationship Type="http://schemas.openxmlformats.org/officeDocument/2006/relationships/worksheet" Target="/xl/worksheets/sheet3.xml" Id="R226498314c324b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6627c0659844cbb" /><Relationship Type="http://schemas.openxmlformats.org/officeDocument/2006/relationships/chart" Target="/xl/drawings/charts/chart2.xml" Id="Reb63634b215a42c9" /><Relationship Type="http://schemas.openxmlformats.org/officeDocument/2006/relationships/chart" Target="/xl/drawings/charts/chart3.xml" Id="Refa1cb5eb5d7414d" /><Relationship Type="http://schemas.openxmlformats.org/officeDocument/2006/relationships/chart" Target="/xl/drawings/charts/chart4.xml" Id="Re825debbfea54611" /><Relationship Type="http://schemas.openxmlformats.org/officeDocument/2006/relationships/chart" Target="/xl/drawings/charts/chart5.xml" Id="Ra6dccecf66424f86" /><Relationship Type="http://schemas.openxmlformats.org/officeDocument/2006/relationships/chart" Target="/xl/drawings/charts/chart6.xml" Id="Raf80ed7832cd4d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Region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 by Region</c:v>
          </c:tx>
          <c:cat>
            <c:strRef>
              <c:f>'Summary'!$A$2:$A$6</c:f>
              <c:strCache>
                <c:ptCount val="0"/>
              </c:strCache>
            </c:strRef>
          </c:cat>
          <c:val>
            <c:numRef>
              <c:f>'Summary'!$B$2:$B$6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 by Category</c:v>
          </c:tx>
          <c:cat>
            <c:strRef>
              <c:f>'Summary'!$D$2:$D$5</c:f>
              <c:strCache>
                <c:ptCount val="0"/>
              </c:strCache>
            </c:strRef>
          </c:cat>
          <c:val>
            <c:numRef>
              <c:f>'Summary'!$E$2:$E$5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Product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 by Product</c:v>
          </c:tx>
          <c:cat>
            <c:strRef>
              <c:f>'Summary'!$J$2:$J$11</c:f>
              <c:strCache>
                <c:ptCount val="0"/>
              </c:strCache>
            </c:strRef>
          </c:cat>
          <c:val>
            <c:numRef>
              <c:f>'Summary'!$K$2:$K$11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Rep Revenue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Sales Rep Revenue</c:v>
          </c:tx>
          <c:cat>
            <c:strRef>
              <c:f>'Summary'!$M$2:$M$7</c:f>
              <c:strCache>
                <c:ptCount val="0"/>
              </c:strCache>
            </c:strRef>
          </c:cat>
          <c:val>
            <c:numRef>
              <c:f>'Summary'!$N$2:$N$7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Share by Segment</a:t>
            </a:r>
          </a:p>
        </c:rich>
      </c:tx>
    </c:title>
    <c:plotArea>
      <c:pieChart>
        <c:ser>
          <c:idx val="0"/>
          <c:order val="0"/>
          <c:tx>
            <c:v>Revenue Share by Segment</c:v>
          </c:tx>
          <c:cat>
            <c:strRef>
              <c:f>'Summary'!$G$2:$G$4</c:f>
              <c:strCache>
                <c:ptCount val="0"/>
              </c:strCache>
            </c:strRef>
          </c:cat>
          <c:val>
            <c:numRef>
              <c:f>'Summary'!$H$2:$H$4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Trend 2026</a:t>
            </a:r>
          </a:p>
        </c:rich>
      </c:tx>
    </c:title>
    <c:plotArea>
      <c:lineChart>
        <c:grouping val="standard"/>
        <c:ser>
          <c:idx val="0"/>
          <c:order val="0"/>
          <c:tx>
            <c:v>Monthly Revenue Trend 2026</c:v>
          </c:tx>
          <c:marker>
            <c:symbol val="none"/>
          </c:marker>
          <c:cat>
            <c:strRef>
              <c:f>'Summary'!$P$2:$P$13</c:f>
              <c:strCache>
                <c:ptCount val="0"/>
              </c:strCache>
            </c:strRef>
          </c:cat>
          <c:val>
            <c:numRef>
              <c:f>'Summary'!$Q$2:$Q$13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17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627c0659844cbb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63634b215a42c9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a1cb5eb5d7414d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25debbfea54611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6</xdr:col>
      <xdr:colOff>0</xdr:colOff>
      <xdr:row>61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dccecf66424f86"/>
        </a:graphicData>
      </a:graphic>
    </xdr:graphicFrame>
    <xdr:clientData/>
  </xdr:twoCellAnchor>
  <xdr:twoCellAnchor>
    <xdr:from>
      <xdr:col>7</xdr:col>
      <xdr:colOff>0</xdr:colOff>
      <xdr:row>49</xdr:row>
      <xdr:rowOff>0</xdr:rowOff>
    </xdr:from>
    <xdr:to>
      <xdr:col>12</xdr:col>
      <xdr:colOff>0</xdr:colOff>
      <xdr:row>61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80ed7832cd4d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" displayName="SalesData" ref="A1:J145" headerRowCount="1" totalsRowCount="0" totalsRowShown="0">
  <x:tableColumns count="10">
    <x:tableColumn id="1" name="Order ID"/>
    <x:tableColumn id="2" name="Date"/>
    <x:tableColumn id="3" name="Region"/>
    <x:tableColumn id="4" name="Category"/>
    <x:tableColumn id="5" name="Segment"/>
    <x:tableColumn id="6" name="Product"/>
    <x:tableColumn id="7" name="Sales Rep"/>
    <x:tableColumn id="8" name="Units"/>
    <x:tableColumn id="9" name="Unit Price (INR)"/>
    <x:tableColumn id="10" name="Revenue (IN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a0e71732e74a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d805ac7c1b4630" /></Relationships>
</file>

<file path=xl/worksheets/sheet1.xml><?xml version="1.0" encoding="utf-8"?>
<x:worksheet xmlns:x="http://schemas.openxmlformats.org/spreadsheetml/2006/main">
  <x:sheetFormatPr defaultRowHeight="15"/>
  <x:cols>
    <x:col min="1" max="1" width="2" hidden="0" customWidth="1"/>
    <x:col min="2" max="2" width="14" hidden="0" customWidth="1"/>
    <x:col min="3" max="3" width="14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14" hidden="0" customWidth="1"/>
    <x:col min="11" max="11" width="14" hidden="0" customWidth="1"/>
    <x:col min="12" max="12" width="14" hidden="0" customWidth="1"/>
    <x:col min="13" max="13" width="3" hidden="0" customWidth="1"/>
  </x:cols>
  <x:sheetData>
    <x:row r="1" ht="18" customHeight="1">
      <x:c r="A1" s="84"/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</x:row>
    <x:row r="2" ht="25" customHeight="1">
      <x:c r="A2" s="84"/>
      <x:c r="B2" s="104" t="str">
        <x:v>SALES PERFORMANCE DASHBOARD | 2026</x:v>
      </x:c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</x:row>
    <x:row r="3" ht="25" customHeight="1">
      <x:c r="A3" s="8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</x:row>
    <x:row r="4" ht="18" customHeight="1">
      <x:c r="A4" s="84"/>
      <x:c r="B4" s="107" t="str">
        <x:v>Management view | Revenue, volume, mix and sales productivity</x:v>
      </x:c>
      <x:c r="C4" s="107"/>
      <x:c r="D4" s="107"/>
      <x:c r="E4" s="107"/>
      <x:c r="F4" s="107"/>
      <x:c r="G4" s="107"/>
      <x:c r="H4" s="107"/>
      <x:c r="I4" s="107"/>
      <x:c r="J4" s="107"/>
      <x:c r="K4" s="107"/>
      <x:c r="L4" s="107"/>
      <x:c r="M4" s="107"/>
    </x:row>
    <x:row r="5" ht="18" customHeight="1">
      <x:c r="A5" s="84"/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84"/>
      <x:c r="M5" s="84"/>
    </x:row>
    <x:row r="6" ht="22" customHeight="1">
      <x:c r="A6" s="84"/>
      <x:c r="B6" s="110" t="str">
        <x:v>TOTAL REVENUE (₹ Cr)</x:v>
      </x:c>
      <x:c r="C6" s="110"/>
      <x:c r="D6" s="110"/>
      <x:c r="E6" s="110" t="str">
        <x:v>UNITS SOLD</x:v>
      </x:c>
      <x:c r="F6" s="110" t="str">
        <x:v>UNITS SOLD</x:v>
      </x:c>
      <x:c r="G6" s="110"/>
      <x:c r="H6" s="110" t="str">
        <x:v>AVG ORDER VALUE</x:v>
      </x:c>
      <x:c r="I6" s="110"/>
      <x:c r="J6" s="110" t="str">
        <x:v>AVG ORDER VALUE</x:v>
      </x:c>
      <x:c r="K6" s="110" t="str">
        <x:v>TOP SALES REP</x:v>
      </x:c>
      <x:c r="L6" s="110"/>
      <x:c r="M6" s="110"/>
    </x:row>
    <x:row r="7" ht="22" customHeight="1">
      <x:c r="A7" s="84"/>
      <x:c r="B7" s="110"/>
      <x:c r="C7" s="110"/>
      <x:c r="D7" s="110"/>
      <x:c r="E7" s="110"/>
      <x:c r="F7" s="110"/>
      <x:c r="G7" s="110"/>
      <x:c r="H7" s="110"/>
      <x:c r="I7" s="110"/>
      <x:c r="J7" s="110"/>
      <x:c r="K7" s="110"/>
      <x:c r="L7" s="110"/>
      <x:c r="M7" s="110"/>
    </x:row>
    <x:row r="8" ht="22" customHeight="1">
      <x:c r="A8" s="84"/>
      <x:c r="B8" s="120" t="n">
        <x:f>Summary!T2/10000000</x:f>
        <x:v>3.31325</x:v>
      </x:c>
      <x:c r="C8" s="120"/>
      <x:c r="D8" s="120"/>
      <x:c r="E8" s="128" t="n">
        <x:f>Summary!T3</x:f>
        <x:v>1227</x:v>
      </x:c>
      <x:c r="F8" s="128" t="n">
        <x:f>Summary!T3</x:f>
        <x:v>1227</x:v>
      </x:c>
      <x:c r="G8" s="128"/>
      <x:c r="H8" s="118" t="n">
        <x:f>Summary!T4</x:f>
        <x:v>230086.80555555556</x:v>
      </x:c>
      <x:c r="I8" s="118"/>
      <x:c r="J8" s="128" t="n">
        <x:f>ROUND(Summary!T4,0)</x:f>
        <x:v>230087</x:v>
      </x:c>
      <x:c r="K8" s="140" t="str">
        <x:f>Summary!T5</x:f>
        <x:v>Pooja</x:v>
      </x:c>
      <x:c r="L8" s="140"/>
      <x:c r="M8" s="140"/>
    </x:row>
    <x:row r="9" ht="22" customHeight="1">
      <x:c r="A9" s="84"/>
      <x:c r="B9" s="120"/>
      <x:c r="C9" s="120"/>
      <x:c r="D9" s="120"/>
      <x:c r="E9" s="128"/>
      <x:c r="F9" s="128"/>
      <x:c r="G9" s="128"/>
      <x:c r="H9" s="118"/>
      <x:c r="I9" s="118"/>
      <x:c r="J9" s="118"/>
      <x:c r="K9" s="140"/>
      <x:c r="L9" s="140"/>
      <x:c r="M9" s="140"/>
    </x:row>
    <x:row r="10" ht="18" customHeight="1">
      <x:c r="A10" s="84"/>
      <x:c r="B10" s="84"/>
      <x:c r="C10" s="84"/>
      <x:c r="D10" s="84"/>
      <x:c r="E10" s="84"/>
      <x:c r="F10" s="84"/>
      <x:c r="G10" s="84"/>
      <x:c r="H10" s="84"/>
      <x:c r="I10" s="84"/>
      <x:c r="J10" s="84"/>
      <x:c r="K10" s="84"/>
      <x:c r="L10" s="84"/>
      <x:c r="M10" s="84"/>
    </x:row>
    <x:row r="11" ht="18" customHeight="1">
      <x:c r="A11" s="84"/>
      <x:c r="B11" s="87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</x:row>
    <x:row r="12" ht="18" customHeight="1">
      <x:c r="A12" s="84"/>
      <x:c r="B12" s="84"/>
      <x:c r="C12" s="84"/>
      <x:c r="D12" s="84"/>
      <x:c r="E12" s="84"/>
      <x:c r="F12" s="84"/>
      <x:c r="G12" s="84"/>
      <x:c r="H12" s="84"/>
      <x:c r="I12" s="84"/>
      <x:c r="J12" s="84"/>
      <x:c r="K12" s="84"/>
      <x:c r="L12" s="84"/>
      <x:c r="M12" s="84"/>
    </x:row>
    <x:row r="13" ht="18" customHeight="1">
      <x:c r="A13" s="84"/>
      <x:c r="B13" s="90"/>
      <x:c r="C13" s="84"/>
      <x:c r="D13" s="84"/>
      <x:c r="E13" s="84"/>
      <x:c r="F13" s="84"/>
      <x:c r="G13" s="84"/>
      <x:c r="H13" s="84"/>
      <x:c r="I13" s="84"/>
      <x:c r="J13" s="84"/>
      <x:c r="K13" s="84"/>
      <x:c r="L13" s="84"/>
      <x:c r="M13" s="84"/>
    </x:row>
    <x:row r="14" ht="18" customHeight="1">
      <x:c r="A14" s="84"/>
      <x:c r="B14" s="84"/>
      <x:c r="C14" s="84"/>
      <x:c r="D14" s="84"/>
      <x:c r="E14" s="84"/>
      <x:c r="F14" s="84"/>
      <x:c r="G14" s="84"/>
      <x:c r="H14" s="84"/>
      <x:c r="I14" s="84"/>
      <x:c r="J14" s="84"/>
      <x:c r="K14" s="84"/>
      <x:c r="L14" s="84"/>
      <x:c r="M14" s="84"/>
    </x:row>
    <x:row r="15" ht="18" customHeight="1">
      <x:c r="A15" s="84"/>
      <x:c r="B15" s="84"/>
      <x:c r="C15" s="84"/>
      <x:c r="D15" s="84"/>
      <x:c r="E15" s="84"/>
      <x:c r="F15" s="84"/>
      <x:c r="G15" s="84"/>
      <x:c r="H15" s="84"/>
      <x:c r="I15" s="84"/>
      <x:c r="J15" s="84"/>
      <x:c r="K15" s="84"/>
      <x:c r="L15" s="84"/>
      <x:c r="M15" s="84"/>
    </x:row>
    <x:row r="16" ht="18" customHeight="1">
      <x:c r="A16" s="84"/>
      <x:c r="B16" s="84"/>
      <x:c r="C16" s="84"/>
      <x:c r="D16" s="84"/>
      <x:c r="E16" s="84"/>
      <x:c r="F16" s="84"/>
      <x:c r="G16" s="84"/>
      <x:c r="H16" s="84"/>
      <x:c r="I16" s="84"/>
      <x:c r="J16" s="84"/>
      <x:c r="K16" s="84"/>
      <x:c r="L16" s="84"/>
      <x:c r="M16" s="84"/>
    </x:row>
    <x:row r="17" ht="18" customHeight="1">
      <x:c r="A17" s="84"/>
      <x:c r="B17" s="79" t="str">
        <x:v>Revenue by Region (₹ Lakhs)</x:v>
      </x:c>
      <x:c r="C17" s="79"/>
      <x:c r="D17" s="79"/>
      <x:c r="E17" s="79"/>
      <x:c r="F17" s="79"/>
      <x:c r="G17" s="84"/>
      <x:c r="H17" s="79" t="str">
        <x:v>Revenue by Category (₹ Lakhs)</x:v>
      </x:c>
      <x:c r="I17" s="79"/>
      <x:c r="J17" s="79"/>
      <x:c r="K17" s="79"/>
      <x:c r="L17" s="79"/>
      <x:c r="M17" s="84"/>
    </x:row>
    <x:row r="18" ht="18" customHeight="1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  <x:c r="K18" s="84"/>
      <x:c r="L18" s="84"/>
      <x:c r="M18" s="84"/>
    </x:row>
    <x:row r="19" ht="18" customHeight="1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  <x:c r="K19" s="84"/>
      <x:c r="L19" s="84"/>
      <x:c r="M19" s="84"/>
    </x:row>
    <x:row r="20" ht="18" customHeight="1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  <x:c r="K20" s="84"/>
      <x:c r="L20" s="84"/>
      <x:c r="M20" s="84"/>
    </x:row>
    <x:row r="21" ht="18" customHeight="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</x:row>
    <x:row r="22" ht="18" customHeight="1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  <x:c r="K22" s="84"/>
      <x:c r="L22" s="84"/>
      <x:c r="M22" s="84"/>
    </x:row>
    <x:row r="23" ht="18" customHeight="1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  <x:c r="K23" s="84"/>
      <x:c r="L23" s="84"/>
      <x:c r="M23" s="84"/>
    </x:row>
    <x:row r="24" ht="18" customHeight="1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  <x:c r="K24" s="84"/>
      <x:c r="L24" s="84"/>
      <x:c r="M24" s="84"/>
    </x:row>
    <x:row r="25" ht="18" customHeight="1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  <x:c r="M25" s="84"/>
    </x:row>
    <x:row r="26" ht="18" customHeight="1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  <x:c r="M26" s="84"/>
    </x:row>
    <x:row r="27" ht="18" customHeight="1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  <x:c r="K27" s="84"/>
      <x:c r="L27" s="84"/>
      <x:c r="M27" s="84"/>
    </x:row>
    <x:row r="28" ht="18" customHeight="1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</x:row>
    <x:row r="29" ht="18" customHeight="1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  <x:c r="K29" s="84"/>
      <x:c r="L29" s="84"/>
      <x:c r="M29" s="84"/>
    </x:row>
    <x:row r="30" ht="18" customHeight="1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  <x:c r="K30" s="84"/>
      <x:c r="L30" s="84"/>
      <x:c r="M30" s="84"/>
    </x:row>
    <x:row r="31" ht="18" customHeight="1">
      <x:c r="A31" s="84"/>
      <x:c r="B31" s="84"/>
      <x:c r="C31" s="84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</x:row>
    <x:row r="32" ht="18" customHeight="1">
      <x:c r="A32" s="84"/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</x:row>
    <x:row r="33" ht="18" customHeight="1">
      <x:c r="A33" s="84"/>
      <x:c r="B33" s="79" t="str">
        <x:v>Revenue by Product (₹ Lakhs)</x:v>
      </x:c>
      <x:c r="C33" s="79"/>
      <x:c r="D33" s="79"/>
      <x:c r="E33" s="79"/>
      <x:c r="F33" s="79"/>
      <x:c r="G33" s="84"/>
      <x:c r="H33" s="79" t="str">
        <x:v>Sales Rep Revenue (₹ Lakhs)</x:v>
      </x:c>
      <x:c r="I33" s="79"/>
      <x:c r="J33" s="79"/>
      <x:c r="K33" s="79"/>
      <x:c r="L33" s="79"/>
      <x:c r="M33" s="84"/>
    </x:row>
    <x:row r="34" ht="18" customHeight="1">
      <x:c r="A34" s="84"/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  <x:c r="M34" s="84"/>
    </x:row>
    <x:row r="35" ht="18" customHeight="1">
      <x:c r="A35" s="84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</x:row>
    <x:row r="36" ht="18" customHeight="1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  <x:c r="M36" s="84"/>
    </x:row>
    <x:row r="37" ht="18" customHeight="1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</x:row>
    <x:row r="38" ht="18" customHeight="1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  <x:c r="M38" s="84"/>
    </x:row>
    <x:row r="39" ht="18" customHeight="1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</x:row>
    <x:row r="40" ht="18" customHeight="1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  <x:c r="M40" s="84"/>
    </x:row>
    <x:row r="41" ht="18" customHeight="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  <x:c r="M41" s="84"/>
    </x:row>
    <x:row r="42" ht="18" customHeight="1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  <x:c r="M42" s="84"/>
    </x:row>
    <x:row r="43" ht="18" customHeight="1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  <x:c r="M43" s="84"/>
    </x:row>
    <x:row r="44" ht="18" customHeight="1">
      <x:c r="A44" s="84"/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</x:row>
    <x:row r="45" ht="18" customHeight="1">
      <x:c r="A45" s="84"/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  <x:c r="M45" s="84"/>
    </x:row>
    <x:row r="46" ht="18" customHeight="1">
      <x:c r="A46" s="84"/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  <x:c r="M46" s="84"/>
    </x:row>
    <x:row r="47" ht="18" customHeight="1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  <x:c r="M47" s="84"/>
    </x:row>
    <x:row r="48" ht="18" customHeight="1">
      <x:c r="A48" s="84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</x:row>
    <x:row r="49" ht="18" customHeight="1">
      <x:c r="A49" s="84"/>
      <x:c r="B49" s="79" t="str">
        <x:v>Revenue Share by Segment</x:v>
      </x:c>
      <x:c r="C49" s="79"/>
      <x:c r="D49" s="79"/>
      <x:c r="E49" s="79"/>
      <x:c r="F49" s="79"/>
      <x:c r="G49" s="84"/>
      <x:c r="H49" s="79" t="str">
        <x:v>Monthly Revenue Trend 2026</x:v>
      </x:c>
      <x:c r="I49" s="79"/>
      <x:c r="J49" s="79"/>
      <x:c r="K49" s="79"/>
      <x:c r="L49" s="79"/>
      <x:c r="M49" s="84"/>
    </x:row>
    <x:row r="50" ht="18" customHeight="1">
      <x:c r="A50" s="84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  <x:c r="M50" s="84"/>
    </x:row>
    <x:row r="51" ht="18" customHeight="1">
      <x:c r="A51" s="84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  <x:c r="M51" s="84"/>
    </x:row>
    <x:row r="52" ht="18" customHeight="1">
      <x:c r="A52" s="84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  <x:c r="M52" s="84"/>
    </x:row>
    <x:row r="53" ht="18" customHeight="1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  <x:c r="M53" s="84"/>
    </x:row>
    <x:row r="54" ht="18" customHeight="1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  <x:c r="M54" s="84"/>
    </x:row>
    <x:row r="55" ht="18" customHeight="1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  <x:c r="M55" s="84"/>
    </x:row>
    <x:row r="56" ht="18" customHeight="1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  <x:c r="M56" s="84"/>
    </x:row>
    <x:row r="57" ht="18" customHeight="1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  <x:c r="M57" s="84"/>
    </x:row>
    <x:row r="58" ht="18" customHeight="1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  <x:c r="M58" s="84"/>
    </x:row>
    <x:row r="59" ht="18" customHeight="1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  <x:c r="M59" s="84"/>
    </x:row>
    <x:row r="60" ht="18" customHeight="1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  <x:c r="M60" s="84"/>
    </x:row>
    <x:row r="61" ht="18" customHeight="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  <x:c r="M61" s="84"/>
    </x:row>
    <x:row r="62" ht="18" customHeight="1">
      <x:c r="A62" s="84"/>
      <x:c r="B62" s="101" t="str">
        <x:v>Source: illustrative sales dataset for dashboard demonstration | Figures shown in INR unless stated</x:v>
      </x:c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</x:row>
  </x:sheetData>
  <x:mergeCells>
    <x:mergeCell ref="B2:M3"/>
    <x:mergeCell ref="B4:M4"/>
    <x:mergeCell ref="B17:F17"/>
    <x:mergeCell ref="H17:L17"/>
    <x:mergeCell ref="B33:F33"/>
    <x:mergeCell ref="H33:L33"/>
    <x:mergeCell ref="B49:F49"/>
    <x:mergeCell ref="H49:L49"/>
    <x:mergeCell ref="B62:L62"/>
    <x:mergeCell ref="B6:D7"/>
    <x:mergeCell ref="B8:D9"/>
    <x:mergeCell ref="E6:G7"/>
    <x:mergeCell ref="E8:G9"/>
    <x:mergeCell ref="H6:J7"/>
    <x:mergeCell ref="H8:J9"/>
    <x:mergeCell ref="K6:M7"/>
    <x:mergeCell ref="K8:M9"/>
  </x:mergeCells>
  <x:pageMargins left="0.7" right="0.7" top="0.75" bottom="0.75" header="0.3" footer="0.3"/>
  <x:drawing xmlns:r="http://schemas.openxmlformats.org/officeDocument/2006/relationships" r:id="Re7a0e71732e74a91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9" hidden="0" customWidth="1"/>
    <x:col min="5" max="5" width="15" hidden="0" customWidth="1"/>
    <x:col min="6" max="6" width="18" hidden="0" customWidth="1"/>
    <x:col min="7" max="7" width="14" hidden="0" customWidth="1"/>
    <x:col min="8" max="8" width="10" hidden="0" customWidth="1"/>
    <x:col min="9" max="9" width="16" hidden="0" customWidth="1"/>
    <x:col min="10" max="10" width="17" hidden="0" customWidth="1"/>
  </x:cols>
  <x:sheetData>
    <x:row r="1">
      <x:c r="A1" s="16" t="str">
        <x:v>Order ID</x:v>
      </x:c>
      <x:c r="B1" s="16" t="str">
        <x:v>Date</x:v>
      </x:c>
      <x:c r="C1" s="16" t="str">
        <x:v>Region</x:v>
      </x:c>
      <x:c r="D1" s="16" t="str">
        <x:v>Category</x:v>
      </x:c>
      <x:c r="E1" s="16" t="str">
        <x:v>Segment</x:v>
      </x:c>
      <x:c r="F1" s="16" t="str">
        <x:v>Product</x:v>
      </x:c>
      <x:c r="G1" s="16" t="str">
        <x:v>Sales Rep</x:v>
      </x:c>
      <x:c r="H1" s="16" t="str">
        <x:v>Units</x:v>
      </x:c>
      <x:c r="I1" s="16" t="str">
        <x:v>Unit Price (INR)</x:v>
      </x:c>
      <x:c r="J1" s="16" t="str">
        <x:v>Revenue (INR)</x:v>
      </x:c>
    </x:row>
    <x:row r="2">
      <x:c r="A2" s="17" t="str">
        <x:v>SO-10001</x:v>
      </x:c>
      <x:c r="B2" s="17" t="n">
        <x:v>46024</x:v>
      </x:c>
      <x:c r="C2" s="18" t="str">
        <x:v>South</x:v>
      </x:c>
      <x:c r="D2" s="18" t="str">
        <x:v>Electronics</x:v>
      </x:c>
      <x:c r="E2" s="18" t="str">
        <x:v>Consumer</x:v>
      </x:c>
      <x:c r="F2" s="18" t="str">
        <x:v>Tablet</x:v>
      </x:c>
      <x:c r="G2" s="18" t="str">
        <x:v>Vikram</x:v>
      </x:c>
      <x:c r="H2" s="19" t="n">
        <x:v>5</x:v>
      </x:c>
      <x:c r="I2" s="20" t="n">
        <x:v>31400</x:v>
      </x:c>
      <x:c r="J2" s="20" t="n">
        <x:v>157000</x:v>
      </x:c>
    </x:row>
    <x:row r="3">
      <x:c r="A3" s="17" t="str">
        <x:v>SO-10002</x:v>
      </x:c>
      <x:c r="B3" s="17" t="n">
        <x:v>46062</x:v>
      </x:c>
      <x:c r="C3" s="18" t="str">
        <x:v>Central</x:v>
      </x:c>
      <x:c r="D3" s="18" t="str">
        <x:v>Furniture</x:v>
      </x:c>
      <x:c r="E3" s="18" t="str">
        <x:v>Corporate</x:v>
      </x:c>
      <x:c r="F3" s="18" t="str">
        <x:v>Office Chair</x:v>
      </x:c>
      <x:c r="G3" s="18" t="str">
        <x:v>Neha</x:v>
      </x:c>
      <x:c r="H3" s="19" t="n">
        <x:v>7</x:v>
      </x:c>
      <x:c r="I3" s="20" t="n">
        <x:v>15700</x:v>
      </x:c>
      <x:c r="J3" s="20" t="n">
        <x:v>109900</x:v>
      </x:c>
    </x:row>
    <x:row r="4">
      <x:c r="A4" s="17" t="str">
        <x:v>SO-10003</x:v>
      </x:c>
      <x:c r="B4" s="17" t="n">
        <x:v>46097</x:v>
      </x:c>
      <x:c r="C4" s="18" t="str">
        <x:v>East</x:v>
      </x:c>
      <x:c r="D4" s="18" t="str">
        <x:v>Electronics</x:v>
      </x:c>
      <x:c r="E4" s="18" t="str">
        <x:v>Home Office</x:v>
      </x:c>
      <x:c r="F4" s="18" t="str">
        <x:v>Monitor</x:v>
      </x:c>
      <x:c r="G4" s="18" t="str">
        <x:v>Aman</x:v>
      </x:c>
      <x:c r="H4" s="19" t="n">
        <x:v>10</x:v>
      </x:c>
      <x:c r="I4" s="20" t="n">
        <x:v>20500</x:v>
      </x:c>
      <x:c r="J4" s="20" t="n">
        <x:v>205000</x:v>
      </x:c>
    </x:row>
    <x:row r="5">
      <x:c r="A5" s="17" t="str">
        <x:v>SO-10004</x:v>
      </x:c>
      <x:c r="B5" s="17" t="n">
        <x:v>46135</x:v>
      </x:c>
      <x:c r="C5" s="18" t="str">
        <x:v>North</x:v>
      </x:c>
      <x:c r="D5" s="18" t="str">
        <x:v>Office Supplies</x:v>
      </x:c>
      <x:c r="E5" s="18" t="str">
        <x:v>Consumer</x:v>
      </x:c>
      <x:c r="F5" s="18" t="str">
        <x:v>Printer</x:v>
      </x:c>
      <x:c r="G5" s="18" t="str">
        <x:v>Rohit</x:v>
      </x:c>
      <x:c r="H5" s="19" t="n">
        <x:v>8</x:v>
      </x:c>
      <x:c r="I5" s="20" t="n">
        <x:v>18500</x:v>
      </x:c>
      <x:c r="J5" s="20" t="n">
        <x:v>148000</x:v>
      </x:c>
    </x:row>
    <x:row r="6">
      <x:c r="A6" s="17" t="str">
        <x:v>SO-10005</x:v>
      </x:c>
      <x:c r="B6" s="17" t="n">
        <x:v>46147</x:v>
      </x:c>
      <x:c r="C6" s="18" t="str">
        <x:v>West</x:v>
      </x:c>
      <x:c r="D6" s="18" t="str">
        <x:v>Electronics</x:v>
      </x:c>
      <x:c r="E6" s="18" t="str">
        <x:v>Corporate</x:v>
      </x:c>
      <x:c r="F6" s="18" t="str">
        <x:v>Laptop</x:v>
      </x:c>
      <x:c r="G6" s="18" t="str">
        <x:v>Pooja</x:v>
      </x:c>
      <x:c r="H6" s="19" t="n">
        <x:v>4</x:v>
      </x:c>
      <x:c r="I6" s="20" t="n">
        <x:v>80000</x:v>
      </x:c>
      <x:c r="J6" s="20" t="n">
        <x:v>320000</x:v>
      </x:c>
    </x:row>
    <x:row r="7">
      <x:c r="A7" s="17" t="str">
        <x:v>SO-10006</x:v>
      </x:c>
      <x:c r="B7" s="17" t="n">
        <x:v>46185</x:v>
      </x:c>
      <x:c r="C7" s="18" t="str">
        <x:v>South</x:v>
      </x:c>
      <x:c r="D7" s="18" t="str">
        <x:v>Accessories</x:v>
      </x:c>
      <x:c r="E7" s="18" t="str">
        <x:v>Home Office</x:v>
      </x:c>
      <x:c r="F7" s="18" t="str">
        <x:v>Keyboard</x:v>
      </x:c>
      <x:c r="G7" s="18" t="str">
        <x:v>Rahul</x:v>
      </x:c>
      <x:c r="H7" s="19" t="n">
        <x:v>7</x:v>
      </x:c>
      <x:c r="I7" s="20" t="n">
        <x:v>3400</x:v>
      </x:c>
      <x:c r="J7" s="20" t="n">
        <x:v>23800</x:v>
      </x:c>
    </x:row>
    <x:row r="8">
      <x:c r="A8" s="17" t="str">
        <x:v>SO-10007</x:v>
      </x:c>
      <x:c r="B8" s="17" t="n">
        <x:v>46222</x:v>
      </x:c>
      <x:c r="C8" s="18" t="str">
        <x:v>Central</x:v>
      </x:c>
      <x:c r="D8" s="18" t="str">
        <x:v>Electronics</x:v>
      </x:c>
      <x:c r="E8" s="18" t="str">
        <x:v>Consumer</x:v>
      </x:c>
      <x:c r="F8" s="18" t="str">
        <x:v>TV</x:v>
      </x:c>
      <x:c r="G8" s="18" t="str">
        <x:v>Vikram</x:v>
      </x:c>
      <x:c r="H8" s="19" t="n">
        <x:v>5</x:v>
      </x:c>
      <x:c r="I8" s="20" t="n">
        <x:v>55900</x:v>
      </x:c>
      <x:c r="J8" s="20" t="n">
        <x:v>279500</x:v>
      </x:c>
    </x:row>
    <x:row r="9">
      <x:c r="A9" s="17" t="str">
        <x:v>SO-10008</x:v>
      </x:c>
      <x:c r="B9" s="17" t="n">
        <x:v>46260</x:v>
      </x:c>
      <x:c r="C9" s="18" t="str">
        <x:v>East</x:v>
      </x:c>
      <x:c r="D9" s="18" t="str">
        <x:v>Electronics</x:v>
      </x:c>
      <x:c r="E9" s="18" t="str">
        <x:v>Corporate</x:v>
      </x:c>
      <x:c r="F9" s="18" t="str">
        <x:v>Mobile</x:v>
      </x:c>
      <x:c r="G9" s="18" t="str">
        <x:v>Neha</x:v>
      </x:c>
      <x:c r="H9" s="19" t="n">
        <x:v>13</x:v>
      </x:c>
      <x:c r="I9" s="20" t="n">
        <x:v>38800</x:v>
      </x:c>
      <x:c r="J9" s="20" t="n">
        <x:v>504400</x:v>
      </x:c>
    </x:row>
    <x:row r="10">
      <x:c r="A10" s="17" t="str">
        <x:v>SO-10009</x:v>
      </x:c>
      <x:c r="B10" s="17" t="n">
        <x:v>46273</x:v>
      </x:c>
      <x:c r="C10" s="18" t="str">
        <x:v>North</x:v>
      </x:c>
      <x:c r="D10" s="18" t="str">
        <x:v>Accessories</x:v>
      </x:c>
      <x:c r="E10" s="18" t="str">
        <x:v>Home Office</x:v>
      </x:c>
      <x:c r="F10" s="18" t="str">
        <x:v>Mouse</x:v>
      </x:c>
      <x:c r="G10" s="18" t="str">
        <x:v>Aman</x:v>
      </x:c>
      <x:c r="H10" s="19" t="n">
        <x:v>10</x:v>
      </x:c>
      <x:c r="I10" s="20" t="n">
        <x:v>1700</x:v>
      </x:c>
      <x:c r="J10" s="20" t="n">
        <x:v>17000</x:v>
      </x:c>
    </x:row>
    <x:row r="11">
      <x:c r="A11" s="17" t="str">
        <x:v>SO-10010</x:v>
      </x:c>
      <x:c r="B11" s="17" t="n">
        <x:v>46310</x:v>
      </x:c>
      <x:c r="C11" s="18" t="str">
        <x:v>West</x:v>
      </x:c>
      <x:c r="D11" s="18" t="str">
        <x:v>Accessories</x:v>
      </x:c>
      <x:c r="E11" s="18" t="str">
        <x:v>Consumer</x:v>
      </x:c>
      <x:c r="F11" s="18" t="str">
        <x:v>Headphones</x:v>
      </x:c>
      <x:c r="G11" s="18" t="str">
        <x:v>Rohit</x:v>
      </x:c>
      <x:c r="H11" s="19" t="n">
        <x:v>7</x:v>
      </x:c>
      <x:c r="I11" s="20" t="n">
        <x:v>6000</x:v>
      </x:c>
      <x:c r="J11" s="20" t="n">
        <x:v>42000</x:v>
      </x:c>
    </x:row>
    <x:row r="12">
      <x:c r="A12" s="17" t="str">
        <x:v>SO-10011</x:v>
      </x:c>
      <x:c r="B12" s="17" t="n">
        <x:v>46348</x:v>
      </x:c>
      <x:c r="C12" s="18" t="str">
        <x:v>South</x:v>
      </x:c>
      <x:c r="D12" s="18" t="str">
        <x:v>Electronics</x:v>
      </x:c>
      <x:c r="E12" s="18" t="str">
        <x:v>Corporate</x:v>
      </x:c>
      <x:c r="F12" s="18" t="str">
        <x:v>Tablet</x:v>
      </x:c>
      <x:c r="G12" s="18" t="str">
        <x:v>Pooja</x:v>
      </x:c>
      <x:c r="H12" s="19" t="n">
        <x:v>11</x:v>
      </x:c>
      <x:c r="I12" s="20" t="n">
        <x:v>34000</x:v>
      </x:c>
      <x:c r="J12" s="20" t="n">
        <x:v>374000</x:v>
      </x:c>
    </x:row>
    <x:row r="13">
      <x:c r="A13" s="17" t="str">
        <x:v>SO-10012</x:v>
      </x:c>
      <x:c r="B13" s="17" t="n">
        <x:v>46360</x:v>
      </x:c>
      <x:c r="C13" s="18" t="str">
        <x:v>Central</x:v>
      </x:c>
      <x:c r="D13" s="18" t="str">
        <x:v>Furniture</x:v>
      </x:c>
      <x:c r="E13" s="18" t="str">
        <x:v>Home Office</x:v>
      </x:c>
      <x:c r="F13" s="18" t="str">
        <x:v>Office Chair</x:v>
      </x:c>
      <x:c r="G13" s="18" t="str">
        <x:v>Rahul</x:v>
      </x:c>
      <x:c r="H13" s="19" t="n">
        <x:v>4</x:v>
      </x:c>
      <x:c r="I13" s="20" t="n">
        <x:v>16900</x:v>
      </x:c>
      <x:c r="J13" s="20" t="n">
        <x:v>67600</x:v>
      </x:c>
    </x:row>
    <x:row r="14">
      <x:c r="A14" s="17" t="str">
        <x:v>SO-10013</x:v>
      </x:c>
      <x:c r="B14" s="17" t="n">
        <x:v>46033</x:v>
      </x:c>
      <x:c r="C14" s="18" t="str">
        <x:v>East</x:v>
      </x:c>
      <x:c r="D14" s="18" t="str">
        <x:v>Electronics</x:v>
      </x:c>
      <x:c r="E14" s="18" t="str">
        <x:v>Consumer</x:v>
      </x:c>
      <x:c r="F14" s="18" t="str">
        <x:v>Monitor</x:v>
      </x:c>
      <x:c r="G14" s="18" t="str">
        <x:v>Vikram</x:v>
      </x:c>
      <x:c r="H14" s="19" t="n">
        <x:v>10</x:v>
      </x:c>
      <x:c r="I14" s="20" t="n">
        <x:v>22000</x:v>
      </x:c>
      <x:c r="J14" s="20" t="n">
        <x:v>220000</x:v>
      </x:c>
    </x:row>
    <x:row r="15">
      <x:c r="A15" s="17" t="str">
        <x:v>SO-10014</x:v>
      </x:c>
      <x:c r="B15" s="17" t="n">
        <x:v>46071</x:v>
      </x:c>
      <x:c r="C15" s="18" t="str">
        <x:v>North</x:v>
      </x:c>
      <x:c r="D15" s="18" t="str">
        <x:v>Office Supplies</x:v>
      </x:c>
      <x:c r="E15" s="18" t="str">
        <x:v>Corporate</x:v>
      </x:c>
      <x:c r="F15" s="18" t="str">
        <x:v>Printer</x:v>
      </x:c>
      <x:c r="G15" s="18" t="str">
        <x:v>Neha</x:v>
      </x:c>
      <x:c r="H15" s="19" t="n">
        <x:v>15</x:v>
      </x:c>
      <x:c r="I15" s="20" t="n">
        <x:v>19900</x:v>
      </x:c>
      <x:c r="J15" s="20" t="n">
        <x:v>298500</x:v>
      </x:c>
    </x:row>
    <x:row r="16">
      <x:c r="A16" s="17" t="str">
        <x:v>SO-10015</x:v>
      </x:c>
      <x:c r="B16" s="17" t="n">
        <x:v>46106</x:v>
      </x:c>
      <x:c r="C16" s="18" t="str">
        <x:v>West</x:v>
      </x:c>
      <x:c r="D16" s="18" t="str">
        <x:v>Electronics</x:v>
      </x:c>
      <x:c r="E16" s="18" t="str">
        <x:v>Home Office</x:v>
      </x:c>
      <x:c r="F16" s="18" t="str">
        <x:v>Laptop</x:v>
      </x:c>
      <x:c r="G16" s="18" t="str">
        <x:v>Aman</x:v>
      </x:c>
      <x:c r="H16" s="19" t="n">
        <x:v>14</x:v>
      </x:c>
      <x:c r="I16" s="20" t="n">
        <x:v>72200</x:v>
      </x:c>
      <x:c r="J16" s="20" t="n">
        <x:v>1010800</x:v>
      </x:c>
    </x:row>
    <x:row r="17">
      <x:c r="A17" s="17" t="str">
        <x:v>SO-10016</x:v>
      </x:c>
      <x:c r="B17" s="17" t="n">
        <x:v>46119</x:v>
      </x:c>
      <x:c r="C17" s="18" t="str">
        <x:v>South</x:v>
      </x:c>
      <x:c r="D17" s="18" t="str">
        <x:v>Accessories</x:v>
      </x:c>
      <x:c r="E17" s="18" t="str">
        <x:v>Consumer</x:v>
      </x:c>
      <x:c r="F17" s="18" t="str">
        <x:v>Keyboard</x:v>
      </x:c>
      <x:c r="G17" s="18" t="str">
        <x:v>Rohit</x:v>
      </x:c>
      <x:c r="H17" s="19" t="n">
        <x:v>10</x:v>
      </x:c>
      <x:c r="I17" s="20" t="n">
        <x:v>3000</x:v>
      </x:c>
      <x:c r="J17" s="20" t="n">
        <x:v>30000</x:v>
      </x:c>
    </x:row>
    <x:row r="18">
      <x:c r="A18" s="17" t="str">
        <x:v>SO-10017</x:v>
      </x:c>
      <x:c r="B18" s="17" t="n">
        <x:v>46156</x:v>
      </x:c>
      <x:c r="C18" s="18" t="str">
        <x:v>Central</x:v>
      </x:c>
      <x:c r="D18" s="18" t="str">
        <x:v>Electronics</x:v>
      </x:c>
      <x:c r="E18" s="18" t="str">
        <x:v>Corporate</x:v>
      </x:c>
      <x:c r="F18" s="18" t="str">
        <x:v>TV</x:v>
      </x:c>
      <x:c r="G18" s="18" t="str">
        <x:v>Pooja</x:v>
      </x:c>
      <x:c r="H18" s="19" t="n">
        <x:v>7</x:v>
      </x:c>
      <x:c r="I18" s="20" t="n">
        <x:v>50700</x:v>
      </x:c>
      <x:c r="J18" s="20" t="n">
        <x:v>354900</x:v>
      </x:c>
    </x:row>
    <x:row r="19">
      <x:c r="A19" s="17" t="str">
        <x:v>SO-10018</x:v>
      </x:c>
      <x:c r="B19" s="17" t="n">
        <x:v>46194</x:v>
      </x:c>
      <x:c r="C19" s="18" t="str">
        <x:v>East</x:v>
      </x:c>
      <x:c r="D19" s="18" t="str">
        <x:v>Electronics</x:v>
      </x:c>
      <x:c r="E19" s="18" t="str">
        <x:v>Home Office</x:v>
      </x:c>
      <x:c r="F19" s="18" t="str">
        <x:v>Mobile</x:v>
      </x:c>
      <x:c r="G19" s="18" t="str">
        <x:v>Rahul</x:v>
      </x:c>
      <x:c r="H19" s="19" t="n">
        <x:v>9</x:v>
      </x:c>
      <x:c r="I19" s="20" t="n">
        <x:v>42000</x:v>
      </x:c>
      <x:c r="J19" s="20" t="n">
        <x:v>378000</x:v>
      </x:c>
    </x:row>
    <x:row r="20">
      <x:c r="A20" s="17" t="str">
        <x:v>SO-10019</x:v>
      </x:c>
      <x:c r="B20" s="17" t="n">
        <x:v>46206</x:v>
      </x:c>
      <x:c r="C20" s="18" t="str">
        <x:v>North</x:v>
      </x:c>
      <x:c r="D20" s="18" t="str">
        <x:v>Accessories</x:v>
      </x:c>
      <x:c r="E20" s="18" t="str">
        <x:v>Consumer</x:v>
      </x:c>
      <x:c r="F20" s="18" t="str">
        <x:v>Mouse</x:v>
      </x:c>
      <x:c r="G20" s="18" t="str">
        <x:v>Vikram</x:v>
      </x:c>
      <x:c r="H20" s="19" t="n">
        <x:v>11</x:v>
      </x:c>
      <x:c r="I20" s="20" t="n">
        <x:v>1800</x:v>
      </x:c>
      <x:c r="J20" s="20" t="n">
        <x:v>19800</x:v>
      </x:c>
    </x:row>
    <x:row r="21">
      <x:c r="A21" s="17" t="str">
        <x:v>SO-10020</x:v>
      </x:c>
      <x:c r="B21" s="17" t="n">
        <x:v>46244</x:v>
      </x:c>
      <x:c r="C21" s="18" t="str">
        <x:v>West</x:v>
      </x:c>
      <x:c r="D21" s="18" t="str">
        <x:v>Accessories</x:v>
      </x:c>
      <x:c r="E21" s="18" t="str">
        <x:v>Corporate</x:v>
      </x:c>
      <x:c r="F21" s="18" t="str">
        <x:v>Headphones</x:v>
      </x:c>
      <x:c r="G21" s="18" t="str">
        <x:v>Neha</x:v>
      </x:c>
      <x:c r="H21" s="19" t="n">
        <x:v>4</x:v>
      </x:c>
      <x:c r="I21" s="20" t="n">
        <x:v>6500</x:v>
      </x:c>
      <x:c r="J21" s="20" t="n">
        <x:v>26000</x:v>
      </x:c>
    </x:row>
    <x:row r="22">
      <x:c r="A22" s="17" t="str">
        <x:v>SO-10021</x:v>
      </x:c>
      <x:c r="B22" s="17" t="n">
        <x:v>46282</x:v>
      </x:c>
      <x:c r="C22" s="18" t="str">
        <x:v>South</x:v>
      </x:c>
      <x:c r="D22" s="18" t="str">
        <x:v>Electronics</x:v>
      </x:c>
      <x:c r="E22" s="18" t="str">
        <x:v>Home Office</x:v>
      </x:c>
      <x:c r="F22" s="18" t="str">
        <x:v>Tablet</x:v>
      </x:c>
      <x:c r="G22" s="18" t="str">
        <x:v>Aman</x:v>
      </x:c>
      <x:c r="H22" s="19" t="n">
        <x:v>6</x:v>
      </x:c>
      <x:c r="I22" s="20" t="n">
        <x:v>36600</x:v>
      </x:c>
      <x:c r="J22" s="20" t="n">
        <x:v>219600</x:v>
      </x:c>
    </x:row>
    <x:row r="23">
      <x:c r="A23" s="17" t="str">
        <x:v>SO-10022</x:v>
      </x:c>
      <x:c r="B23" s="17" t="n">
        <x:v>46319</x:v>
      </x:c>
      <x:c r="C23" s="18" t="str">
        <x:v>Central</x:v>
      </x:c>
      <x:c r="D23" s="18" t="str">
        <x:v>Furniture</x:v>
      </x:c>
      <x:c r="E23" s="18" t="str">
        <x:v>Consumer</x:v>
      </x:c>
      <x:c r="F23" s="18" t="str">
        <x:v>Office Chair</x:v>
      </x:c>
      <x:c r="G23" s="18" t="str">
        <x:v>Rohit</x:v>
      </x:c>
      <x:c r="H23" s="19" t="n">
        <x:v>15</x:v>
      </x:c>
      <x:c r="I23" s="20" t="n">
        <x:v>15300</x:v>
      </x:c>
      <x:c r="J23" s="20" t="n">
        <x:v>229500</x:v>
      </x:c>
    </x:row>
    <x:row r="24">
      <x:c r="A24" s="17" t="str">
        <x:v>SO-10023</x:v>
      </x:c>
      <x:c r="B24" s="17" t="n">
        <x:v>46332</x:v>
      </x:c>
      <x:c r="C24" s="18" t="str">
        <x:v>East</x:v>
      </x:c>
      <x:c r="D24" s="18" t="str">
        <x:v>Electronics</x:v>
      </x:c>
      <x:c r="E24" s="18" t="str">
        <x:v>Corporate</x:v>
      </x:c>
      <x:c r="F24" s="18" t="str">
        <x:v>Monitor</x:v>
      </x:c>
      <x:c r="G24" s="18" t="str">
        <x:v>Pooja</x:v>
      </x:c>
      <x:c r="H24" s="19" t="n">
        <x:v>8</x:v>
      </x:c>
      <x:c r="I24" s="20" t="n">
        <x:v>20000</x:v>
      </x:c>
      <x:c r="J24" s="20" t="n">
        <x:v>160000</x:v>
      </x:c>
    </x:row>
    <x:row r="25">
      <x:c r="A25" s="17" t="str">
        <x:v>SO-10024</x:v>
      </x:c>
      <x:c r="B25" s="17" t="n">
        <x:v>46369</x:v>
      </x:c>
      <x:c r="C25" s="18" t="str">
        <x:v>North</x:v>
      </x:c>
      <x:c r="D25" s="18" t="str">
        <x:v>Office Supplies</x:v>
      </x:c>
      <x:c r="E25" s="18" t="str">
        <x:v>Home Office</x:v>
      </x:c>
      <x:c r="F25" s="18" t="str">
        <x:v>Printer</x:v>
      </x:c>
      <x:c r="G25" s="18" t="str">
        <x:v>Rahul</x:v>
      </x:c>
      <x:c r="H25" s="19" t="n">
        <x:v>15</x:v>
      </x:c>
      <x:c r="I25" s="20" t="n">
        <x:v>18000</x:v>
      </x:c>
      <x:c r="J25" s="20" t="n">
        <x:v>270000</x:v>
      </x:c>
    </x:row>
    <x:row r="26">
      <x:c r="A26" s="17" t="str">
        <x:v>SO-10025</x:v>
      </x:c>
      <x:c r="B26" s="17" t="n">
        <x:v>46042</x:v>
      </x:c>
      <x:c r="C26" s="18" t="str">
        <x:v>West</x:v>
      </x:c>
      <x:c r="D26" s="18" t="str">
        <x:v>Electronics</x:v>
      </x:c>
      <x:c r="E26" s="18" t="str">
        <x:v>Consumer</x:v>
      </x:c>
      <x:c r="F26" s="18" t="str">
        <x:v>Laptop</x:v>
      </x:c>
      <x:c r="G26" s="18" t="str">
        <x:v>Vikram</x:v>
      </x:c>
      <x:c r="H26" s="19" t="n">
        <x:v>15</x:v>
      </x:c>
      <x:c r="I26" s="20" t="n">
        <x:v>78000</x:v>
      </x:c>
      <x:c r="J26" s="20" t="n">
        <x:v>1170000</x:v>
      </x:c>
    </x:row>
    <x:row r="27">
      <x:c r="A27" s="17" t="str">
        <x:v>SO-10026</x:v>
      </x:c>
      <x:c r="B27" s="17" t="n">
        <x:v>46055</x:v>
      </x:c>
      <x:c r="C27" s="18" t="str">
        <x:v>South</x:v>
      </x:c>
      <x:c r="D27" s="18" t="str">
        <x:v>Accessories</x:v>
      </x:c>
      <x:c r="E27" s="18" t="str">
        <x:v>Corporate</x:v>
      </x:c>
      <x:c r="F27" s="18" t="str">
        <x:v>Keyboard</x:v>
      </x:c>
      <x:c r="G27" s="18" t="str">
        <x:v>Neha</x:v>
      </x:c>
      <x:c r="H27" s="19" t="n">
        <x:v>11</x:v>
      </x:c>
      <x:c r="I27" s="20" t="n">
        <x:v>3300</x:v>
      </x:c>
      <x:c r="J27" s="20" t="n">
        <x:v>36300</x:v>
      </x:c>
    </x:row>
    <x:row r="28">
      <x:c r="A28" s="17" t="str">
        <x:v>SO-10027</x:v>
      </x:c>
      <x:c r="B28" s="17" t="n">
        <x:v>46090</x:v>
      </x:c>
      <x:c r="C28" s="18" t="str">
        <x:v>Central</x:v>
      </x:c>
      <x:c r="D28" s="18" t="str">
        <x:v>Electronics</x:v>
      </x:c>
      <x:c r="E28" s="18" t="str">
        <x:v>Home Office</x:v>
      </x:c>
      <x:c r="F28" s="18" t="str">
        <x:v>TV</x:v>
      </x:c>
      <x:c r="G28" s="18" t="str">
        <x:v>Aman</x:v>
      </x:c>
      <x:c r="H28" s="19" t="n">
        <x:v>7</x:v>
      </x:c>
      <x:c r="I28" s="20" t="n">
        <x:v>54600</x:v>
      </x:c>
      <x:c r="J28" s="20" t="n">
        <x:v>382200</x:v>
      </x:c>
    </x:row>
    <x:row r="29">
      <x:c r="A29" s="17" t="str">
        <x:v>SO-10028</x:v>
      </x:c>
      <x:c r="B29" s="17" t="n">
        <x:v>46128</x:v>
      </x:c>
      <x:c r="C29" s="18" t="str">
        <x:v>East</x:v>
      </x:c>
      <x:c r="D29" s="18" t="str">
        <x:v>Electronics</x:v>
      </x:c>
      <x:c r="E29" s="18" t="str">
        <x:v>Consumer</x:v>
      </x:c>
      <x:c r="F29" s="18" t="str">
        <x:v>Mobile</x:v>
      </x:c>
      <x:c r="G29" s="18" t="str">
        <x:v>Rohit</x:v>
      </x:c>
      <x:c r="H29" s="19" t="n">
        <x:v>9</x:v>
      </x:c>
      <x:c r="I29" s="20" t="n">
        <x:v>45200</x:v>
      </x:c>
      <x:c r="J29" s="20" t="n">
        <x:v>406800</x:v>
      </x:c>
    </x:row>
    <x:row r="30">
      <x:c r="A30" s="17" t="str">
        <x:v>SO-10029</x:v>
      </x:c>
      <x:c r="B30" s="17" t="n">
        <x:v>46165</x:v>
      </x:c>
      <x:c r="C30" s="18" t="str">
        <x:v>North</x:v>
      </x:c>
      <x:c r="D30" s="18" t="str">
        <x:v>Accessories</x:v>
      </x:c>
      <x:c r="E30" s="18" t="str">
        <x:v>Corporate</x:v>
      </x:c>
      <x:c r="F30" s="18" t="str">
        <x:v>Mouse</x:v>
      </x:c>
      <x:c r="G30" s="18" t="str">
        <x:v>Pooja</x:v>
      </x:c>
      <x:c r="H30" s="19" t="n">
        <x:v>5</x:v>
      </x:c>
      <x:c r="I30" s="20" t="n">
        <x:v>1700</x:v>
      </x:c>
      <x:c r="J30" s="20" t="n">
        <x:v>8500</x:v>
      </x:c>
    </x:row>
    <x:row r="31">
      <x:c r="A31" s="17" t="str">
        <x:v>SO-10030</x:v>
      </x:c>
      <x:c r="B31" s="17" t="n">
        <x:v>46178</x:v>
      </x:c>
      <x:c r="C31" s="18" t="str">
        <x:v>West</x:v>
      </x:c>
      <x:c r="D31" s="18" t="str">
        <x:v>Accessories</x:v>
      </x:c>
      <x:c r="E31" s="18" t="str">
        <x:v>Home Office</x:v>
      </x:c>
      <x:c r="F31" s="18" t="str">
        <x:v>Headphones</x:v>
      </x:c>
      <x:c r="G31" s="18" t="str">
        <x:v>Rahul</x:v>
      </x:c>
      <x:c r="H31" s="19" t="n">
        <x:v>9</x:v>
      </x:c>
      <x:c r="I31" s="20" t="n">
        <x:v>5900</x:v>
      </x:c>
      <x:c r="J31" s="20" t="n">
        <x:v>53100</x:v>
      </x:c>
    </x:row>
    <x:row r="32">
      <x:c r="A32" s="17" t="str">
        <x:v>SO-10031</x:v>
      </x:c>
      <x:c r="B32" s="17" t="n">
        <x:v>46215</x:v>
      </x:c>
      <x:c r="C32" s="18" t="str">
        <x:v>South</x:v>
      </x:c>
      <x:c r="D32" s="18" t="str">
        <x:v>Electronics</x:v>
      </x:c>
      <x:c r="E32" s="18" t="str">
        <x:v>Consumer</x:v>
      </x:c>
      <x:c r="F32" s="18" t="str">
        <x:v>Tablet</x:v>
      </x:c>
      <x:c r="G32" s="18" t="str">
        <x:v>Vikram</x:v>
      </x:c>
      <x:c r="H32" s="19" t="n">
        <x:v>6</x:v>
      </x:c>
      <x:c r="I32" s="20" t="n">
        <x:v>33200</x:v>
      </x:c>
      <x:c r="J32" s="20" t="n">
        <x:v>199200</x:v>
      </x:c>
    </x:row>
    <x:row r="33">
      <x:c r="A33" s="17" t="str">
        <x:v>SO-10032</x:v>
      </x:c>
      <x:c r="B33" s="17" t="n">
        <x:v>46253</x:v>
      </x:c>
      <x:c r="C33" s="18" t="str">
        <x:v>Central</x:v>
      </x:c>
      <x:c r="D33" s="18" t="str">
        <x:v>Furniture</x:v>
      </x:c>
      <x:c r="E33" s="18" t="str">
        <x:v>Corporate</x:v>
      </x:c>
      <x:c r="F33" s="18" t="str">
        <x:v>Office Chair</x:v>
      </x:c>
      <x:c r="G33" s="18" t="str">
        <x:v>Neha</x:v>
      </x:c>
      <x:c r="H33" s="19" t="n">
        <x:v>5</x:v>
      </x:c>
      <x:c r="I33" s="20" t="n">
        <x:v>16500</x:v>
      </x:c>
      <x:c r="J33" s="20" t="n">
        <x:v>82500</x:v>
      </x:c>
    </x:row>
    <x:row r="34">
      <x:c r="A34" s="17" t="str">
        <x:v>SO-10033</x:v>
      </x:c>
      <x:c r="B34" s="17" t="n">
        <x:v>46291</x:v>
      </x:c>
      <x:c r="C34" s="18" t="str">
        <x:v>East</x:v>
      </x:c>
      <x:c r="D34" s="18" t="str">
        <x:v>Electronics</x:v>
      </x:c>
      <x:c r="E34" s="18" t="str">
        <x:v>Home Office</x:v>
      </x:c>
      <x:c r="F34" s="18" t="str">
        <x:v>Monitor</x:v>
      </x:c>
      <x:c r="G34" s="18" t="str">
        <x:v>Aman</x:v>
      </x:c>
      <x:c r="H34" s="19" t="n">
        <x:v>6</x:v>
      </x:c>
      <x:c r="I34" s="20" t="n">
        <x:v>21500</x:v>
      </x:c>
      <x:c r="J34" s="20" t="n">
        <x:v>129000</x:v>
      </x:c>
    </x:row>
    <x:row r="35">
      <x:c r="A35" s="17" t="str">
        <x:v>SO-10034</x:v>
      </x:c>
      <x:c r="B35" s="17" t="n">
        <x:v>46303</x:v>
      </x:c>
      <x:c r="C35" s="18" t="str">
        <x:v>North</x:v>
      </x:c>
      <x:c r="D35" s="18" t="str">
        <x:v>Office Supplies</x:v>
      </x:c>
      <x:c r="E35" s="18" t="str">
        <x:v>Consumer</x:v>
      </x:c>
      <x:c r="F35" s="18" t="str">
        <x:v>Printer</x:v>
      </x:c>
      <x:c r="G35" s="18" t="str">
        <x:v>Rohit</x:v>
      </x:c>
      <x:c r="H35" s="19" t="n">
        <x:v>8</x:v>
      </x:c>
      <x:c r="I35" s="20" t="n">
        <x:v>19400</x:v>
      </x:c>
      <x:c r="J35" s="20" t="n">
        <x:v>155200</x:v>
      </x:c>
    </x:row>
    <x:row r="36">
      <x:c r="A36" s="17" t="str">
        <x:v>SO-10035</x:v>
      </x:c>
      <x:c r="B36" s="17" t="n">
        <x:v>46341</x:v>
      </x:c>
      <x:c r="C36" s="18" t="str">
        <x:v>West</x:v>
      </x:c>
      <x:c r="D36" s="18" t="str">
        <x:v>Electronics</x:v>
      </x:c>
      <x:c r="E36" s="18" t="str">
        <x:v>Corporate</x:v>
      </x:c>
      <x:c r="F36" s="18" t="str">
        <x:v>Laptop</x:v>
      </x:c>
      <x:c r="G36" s="18" t="str">
        <x:v>Pooja</x:v>
      </x:c>
      <x:c r="H36" s="19" t="n">
        <x:v>5</x:v>
      </x:c>
      <x:c r="I36" s="20" t="n">
        <x:v>83800</x:v>
      </x:c>
      <x:c r="J36" s="20" t="n">
        <x:v>419000</x:v>
      </x:c>
    </x:row>
    <x:row r="37">
      <x:c r="A37" s="17" t="str">
        <x:v>SO-10036</x:v>
      </x:c>
      <x:c r="B37" s="17" t="n">
        <x:v>46378</x:v>
      </x:c>
      <x:c r="C37" s="18" t="str">
        <x:v>South</x:v>
      </x:c>
      <x:c r="D37" s="18" t="str">
        <x:v>Accessories</x:v>
      </x:c>
      <x:c r="E37" s="18" t="str">
        <x:v>Home Office</x:v>
      </x:c>
      <x:c r="F37" s="18" t="str">
        <x:v>Keyboard</x:v>
      </x:c>
      <x:c r="G37" s="18" t="str">
        <x:v>Rahul</x:v>
      </x:c>
      <x:c r="H37" s="19" t="n">
        <x:v>6</x:v>
      </x:c>
      <x:c r="I37" s="20" t="n">
        <x:v>3000</x:v>
      </x:c>
      <x:c r="J37" s="20" t="n">
        <x:v>18000</x:v>
      </x:c>
    </x:row>
    <x:row r="38">
      <x:c r="A38" s="17" t="str">
        <x:v>SO-10037</x:v>
      </x:c>
      <x:c r="B38" s="17" t="n">
        <x:v>46026</x:v>
      </x:c>
      <x:c r="C38" s="18" t="str">
        <x:v>Central</x:v>
      </x:c>
      <x:c r="D38" s="18" t="str">
        <x:v>Electronics</x:v>
      </x:c>
      <x:c r="E38" s="18" t="str">
        <x:v>Consumer</x:v>
      </x:c>
      <x:c r="F38" s="18" t="str">
        <x:v>TV</x:v>
      </x:c>
      <x:c r="G38" s="18" t="str">
        <x:v>Vikram</x:v>
      </x:c>
      <x:c r="H38" s="19" t="n">
        <x:v>12</x:v>
      </x:c>
      <x:c r="I38" s="20" t="n">
        <x:v>49400</x:v>
      </x:c>
      <x:c r="J38" s="20" t="n">
        <x:v>592800</x:v>
      </x:c>
    </x:row>
    <x:row r="39">
      <x:c r="A39" s="17" t="str">
        <x:v>SO-10038</x:v>
      </x:c>
      <x:c r="B39" s="17" t="n">
        <x:v>46064</x:v>
      </x:c>
      <x:c r="C39" s="18" t="str">
        <x:v>East</x:v>
      </x:c>
      <x:c r="D39" s="18" t="str">
        <x:v>Electronics</x:v>
      </x:c>
      <x:c r="E39" s="18" t="str">
        <x:v>Corporate</x:v>
      </x:c>
      <x:c r="F39" s="18" t="str">
        <x:v>Mobile</x:v>
      </x:c>
      <x:c r="G39" s="18" t="str">
        <x:v>Neha</x:v>
      </x:c>
      <x:c r="H39" s="19" t="n">
        <x:v>9</x:v>
      </x:c>
      <x:c r="I39" s="20" t="n">
        <x:v>41000</x:v>
      </x:c>
      <x:c r="J39" s="20" t="n">
        <x:v>369000</x:v>
      </x:c>
    </x:row>
    <x:row r="40">
      <x:c r="A40" s="17" t="str">
        <x:v>SO-10039</x:v>
      </x:c>
      <x:c r="B40" s="17" t="n">
        <x:v>46099</x:v>
      </x:c>
      <x:c r="C40" s="18" t="str">
        <x:v>North</x:v>
      </x:c>
      <x:c r="D40" s="18" t="str">
        <x:v>Accessories</x:v>
      </x:c>
      <x:c r="E40" s="18" t="str">
        <x:v>Home Office</x:v>
      </x:c>
      <x:c r="F40" s="18" t="str">
        <x:v>Mouse</x:v>
      </x:c>
      <x:c r="G40" s="18" t="str">
        <x:v>Aman</x:v>
      </x:c>
      <x:c r="H40" s="19" t="n">
        <x:v>12</x:v>
      </x:c>
      <x:c r="I40" s="20" t="n">
        <x:v>1800</x:v>
      </x:c>
      <x:c r="J40" s="20" t="n">
        <x:v>21600</x:v>
      </x:c>
    </x:row>
    <x:row r="41">
      <x:c r="A41" s="17" t="str">
        <x:v>SO-10040</x:v>
      </x:c>
      <x:c r="B41" s="17" t="n">
        <x:v>46137</x:v>
      </x:c>
      <x:c r="C41" s="18" t="str">
        <x:v>West</x:v>
      </x:c>
      <x:c r="D41" s="18" t="str">
        <x:v>Accessories</x:v>
      </x:c>
      <x:c r="E41" s="18" t="str">
        <x:v>Consumer</x:v>
      </x:c>
      <x:c r="F41" s="18" t="str">
        <x:v>Headphones</x:v>
      </x:c>
      <x:c r="G41" s="18" t="str">
        <x:v>Rohit</x:v>
      </x:c>
      <x:c r="H41" s="19" t="n">
        <x:v>13</x:v>
      </x:c>
      <x:c r="I41" s="20" t="n">
        <x:v>6400</x:v>
      </x:c>
      <x:c r="J41" s="20" t="n">
        <x:v>83200</x:v>
      </x:c>
    </x:row>
    <x:row r="42">
      <x:c r="A42" s="17" t="str">
        <x:v>SO-10041</x:v>
      </x:c>
      <x:c r="B42" s="17" t="n">
        <x:v>46149</x:v>
      </x:c>
      <x:c r="C42" s="18" t="str">
        <x:v>South</x:v>
      </x:c>
      <x:c r="D42" s="18" t="str">
        <x:v>Electronics</x:v>
      </x:c>
      <x:c r="E42" s="18" t="str">
        <x:v>Corporate</x:v>
      </x:c>
      <x:c r="F42" s="18" t="str">
        <x:v>Tablet</x:v>
      </x:c>
      <x:c r="G42" s="18" t="str">
        <x:v>Pooja</x:v>
      </x:c>
      <x:c r="H42" s="19" t="n">
        <x:v>8</x:v>
      </x:c>
      <x:c r="I42" s="20" t="n">
        <x:v>35700</x:v>
      </x:c>
      <x:c r="J42" s="20" t="n">
        <x:v>285600</x:v>
      </x:c>
    </x:row>
    <x:row r="43">
      <x:c r="A43" s="17" t="str">
        <x:v>SO-10042</x:v>
      </x:c>
      <x:c r="B43" s="17" t="n">
        <x:v>46187</x:v>
      </x:c>
      <x:c r="C43" s="18" t="str">
        <x:v>Central</x:v>
      </x:c>
      <x:c r="D43" s="18" t="str">
        <x:v>Furniture</x:v>
      </x:c>
      <x:c r="E43" s="18" t="str">
        <x:v>Home Office</x:v>
      </x:c>
      <x:c r="F43" s="18" t="str">
        <x:v>Office Chair</x:v>
      </x:c>
      <x:c r="G43" s="18" t="str">
        <x:v>Rahul</x:v>
      </x:c>
      <x:c r="H43" s="19" t="n">
        <x:v>11</x:v>
      </x:c>
      <x:c r="I43" s="20" t="n">
        <x:v>17700</x:v>
      </x:c>
      <x:c r="J43" s="20" t="n">
        <x:v>194700</x:v>
      </x:c>
    </x:row>
    <x:row r="44">
      <x:c r="A44" s="17" t="str">
        <x:v>SO-10043</x:v>
      </x:c>
      <x:c r="B44" s="17" t="n">
        <x:v>46224</x:v>
      </x:c>
      <x:c r="C44" s="18" t="str">
        <x:v>East</x:v>
      </x:c>
      <x:c r="D44" s="18" t="str">
        <x:v>Electronics</x:v>
      </x:c>
      <x:c r="E44" s="18" t="str">
        <x:v>Consumer</x:v>
      </x:c>
      <x:c r="F44" s="18" t="str">
        <x:v>Monitor</x:v>
      </x:c>
      <x:c r="G44" s="18" t="str">
        <x:v>Vikram</x:v>
      </x:c>
      <x:c r="H44" s="19" t="n">
        <x:v>8</x:v>
      </x:c>
      <x:c r="I44" s="20" t="n">
        <x:v>19400</x:v>
      </x:c>
      <x:c r="J44" s="20" t="n">
        <x:v>155200</x:v>
      </x:c>
    </x:row>
    <x:row r="45">
      <x:c r="A45" s="17" t="str">
        <x:v>SO-10044</x:v>
      </x:c>
      <x:c r="B45" s="17" t="n">
        <x:v>46237</x:v>
      </x:c>
      <x:c r="C45" s="18" t="str">
        <x:v>North</x:v>
      </x:c>
      <x:c r="D45" s="18" t="str">
        <x:v>Office Supplies</x:v>
      </x:c>
      <x:c r="E45" s="18" t="str">
        <x:v>Corporate</x:v>
      </x:c>
      <x:c r="F45" s="18" t="str">
        <x:v>Printer</x:v>
      </x:c>
      <x:c r="G45" s="18" t="str">
        <x:v>Neha</x:v>
      </x:c>
      <x:c r="H45" s="19" t="n">
        <x:v>8</x:v>
      </x:c>
      <x:c r="I45" s="20" t="n">
        <x:v>17600</x:v>
      </x:c>
      <x:c r="J45" s="20" t="n">
        <x:v>140800</x:v>
      </x:c>
    </x:row>
    <x:row r="46">
      <x:c r="A46" s="17" t="str">
        <x:v>SO-10045</x:v>
      </x:c>
      <x:c r="B46" s="17" t="n">
        <x:v>46275</x:v>
      </x:c>
      <x:c r="C46" s="18" t="str">
        <x:v>West</x:v>
      </x:c>
      <x:c r="D46" s="18" t="str">
        <x:v>Electronics</x:v>
      </x:c>
      <x:c r="E46" s="18" t="str">
        <x:v>Home Office</x:v>
      </x:c>
      <x:c r="F46" s="18" t="str">
        <x:v>Laptop</x:v>
      </x:c>
      <x:c r="G46" s="18" t="str">
        <x:v>Aman</x:v>
      </x:c>
      <x:c r="H46" s="19" t="n">
        <x:v>9</x:v>
      </x:c>
      <x:c r="I46" s="20" t="n">
        <x:v>76000</x:v>
      </x:c>
      <x:c r="J46" s="20" t="n">
        <x:v>684000</x:v>
      </x:c>
    </x:row>
    <x:row r="47">
      <x:c r="A47" s="17" t="str">
        <x:v>SO-10046</x:v>
      </x:c>
      <x:c r="B47" s="17" t="n">
        <x:v>46312</x:v>
      </x:c>
      <x:c r="C47" s="18" t="str">
        <x:v>South</x:v>
      </x:c>
      <x:c r="D47" s="18" t="str">
        <x:v>Accessories</x:v>
      </x:c>
      <x:c r="E47" s="18" t="str">
        <x:v>Consumer</x:v>
      </x:c>
      <x:c r="F47" s="18" t="str">
        <x:v>Keyboard</x:v>
      </x:c>
      <x:c r="G47" s="18" t="str">
        <x:v>Rohit</x:v>
      </x:c>
      <x:c r="H47" s="19" t="n">
        <x:v>7</x:v>
      </x:c>
      <x:c r="I47" s="20" t="n">
        <x:v>3200</x:v>
      </x:c>
      <x:c r="J47" s="20" t="n">
        <x:v>22400</x:v>
      </x:c>
    </x:row>
    <x:row r="48">
      <x:c r="A48" s="17" t="str">
        <x:v>SO-10047</x:v>
      </x:c>
      <x:c r="B48" s="17" t="n">
        <x:v>46350</x:v>
      </x:c>
      <x:c r="C48" s="18" t="str">
        <x:v>Central</x:v>
      </x:c>
      <x:c r="D48" s="18" t="str">
        <x:v>Electronics</x:v>
      </x:c>
      <x:c r="E48" s="18" t="str">
        <x:v>Corporate</x:v>
      </x:c>
      <x:c r="F48" s="18" t="str">
        <x:v>TV</x:v>
      </x:c>
      <x:c r="G48" s="18" t="str">
        <x:v>Pooja</x:v>
      </x:c>
      <x:c r="H48" s="19" t="n">
        <x:v>13</x:v>
      </x:c>
      <x:c r="I48" s="20" t="n">
        <x:v>53300</x:v>
      </x:c>
      <x:c r="J48" s="20" t="n">
        <x:v>692900</x:v>
      </x:c>
    </x:row>
    <x:row r="49">
      <x:c r="A49" s="17" t="str">
        <x:v>SO-10048</x:v>
      </x:c>
      <x:c r="B49" s="17" t="n">
        <x:v>46362</x:v>
      </x:c>
      <x:c r="C49" s="18" t="str">
        <x:v>East</x:v>
      </x:c>
      <x:c r="D49" s="18" t="str">
        <x:v>Electronics</x:v>
      </x:c>
      <x:c r="E49" s="18" t="str">
        <x:v>Home Office</x:v>
      </x:c>
      <x:c r="F49" s="18" t="str">
        <x:v>Mobile</x:v>
      </x:c>
      <x:c r="G49" s="18" t="str">
        <x:v>Rahul</x:v>
      </x:c>
      <x:c r="H49" s="19" t="n">
        <x:v>6</x:v>
      </x:c>
      <x:c r="I49" s="20" t="n">
        <x:v>44100</x:v>
      </x:c>
      <x:c r="J49" s="20" t="n">
        <x:v>264600</x:v>
      </x:c>
    </x:row>
    <x:row r="50">
      <x:c r="A50" s="17" t="str">
        <x:v>SO-10049</x:v>
      </x:c>
      <x:c r="B50" s="17" t="n">
        <x:v>46035</x:v>
      </x:c>
      <x:c r="C50" s="18" t="str">
        <x:v>North</x:v>
      </x:c>
      <x:c r="D50" s="18" t="str">
        <x:v>Accessories</x:v>
      </x:c>
      <x:c r="E50" s="18" t="str">
        <x:v>Consumer</x:v>
      </x:c>
      <x:c r="F50" s="18" t="str">
        <x:v>Mouse</x:v>
      </x:c>
      <x:c r="G50" s="18" t="str">
        <x:v>Vikram</x:v>
      </x:c>
      <x:c r="H50" s="19" t="n">
        <x:v>13</x:v>
      </x:c>
      <x:c r="I50" s="20" t="n">
        <x:v>1900</x:v>
      </x:c>
      <x:c r="J50" s="20" t="n">
        <x:v>24700</x:v>
      </x:c>
    </x:row>
    <x:row r="51">
      <x:c r="A51" s="17" t="str">
        <x:v>SO-10050</x:v>
      </x:c>
      <x:c r="B51" s="17" t="n">
        <x:v>46073</x:v>
      </x:c>
      <x:c r="C51" s="18" t="str">
        <x:v>West</x:v>
      </x:c>
      <x:c r="D51" s="18" t="str">
        <x:v>Accessories</x:v>
      </x:c>
      <x:c r="E51" s="18" t="str">
        <x:v>Corporate</x:v>
      </x:c>
      <x:c r="F51" s="18" t="str">
        <x:v>Headphones</x:v>
      </x:c>
      <x:c r="G51" s="18" t="str">
        <x:v>Neha</x:v>
      </x:c>
      <x:c r="H51" s="19" t="n">
        <x:v>12</x:v>
      </x:c>
      <x:c r="I51" s="20" t="n">
        <x:v>5700</x:v>
      </x:c>
      <x:c r="J51" s="20" t="n">
        <x:v>68400</x:v>
      </x:c>
    </x:row>
    <x:row r="52">
      <x:c r="A52" s="17" t="str">
        <x:v>SO-10051</x:v>
      </x:c>
      <x:c r="B52" s="17" t="n">
        <x:v>46083</x:v>
      </x:c>
      <x:c r="C52" s="18" t="str">
        <x:v>South</x:v>
      </x:c>
      <x:c r="D52" s="18" t="str">
        <x:v>Electronics</x:v>
      </x:c>
      <x:c r="E52" s="18" t="str">
        <x:v>Home Office</x:v>
      </x:c>
      <x:c r="F52" s="18" t="str">
        <x:v>Tablet</x:v>
      </x:c>
      <x:c r="G52" s="18" t="str">
        <x:v>Aman</x:v>
      </x:c>
      <x:c r="H52" s="19" t="n">
        <x:v>7</x:v>
      </x:c>
      <x:c r="I52" s="20" t="n">
        <x:v>32300</x:v>
      </x:c>
      <x:c r="J52" s="20" t="n">
        <x:v>226100</x:v>
      </x:c>
    </x:row>
    <x:row r="53">
      <x:c r="A53" s="17" t="str">
        <x:v>SO-10052</x:v>
      </x:c>
      <x:c r="B53" s="17" t="n">
        <x:v>46121</x:v>
      </x:c>
      <x:c r="C53" s="18" t="str">
        <x:v>Central</x:v>
      </x:c>
      <x:c r="D53" s="18" t="str">
        <x:v>Furniture</x:v>
      </x:c>
      <x:c r="E53" s="18" t="str">
        <x:v>Consumer</x:v>
      </x:c>
      <x:c r="F53" s="18" t="str">
        <x:v>Office Chair</x:v>
      </x:c>
      <x:c r="G53" s="18" t="str">
        <x:v>Rohit</x:v>
      </x:c>
      <x:c r="H53" s="19" t="n">
        <x:v>8</x:v>
      </x:c>
      <x:c r="I53" s="20" t="n">
        <x:v>16100</x:v>
      </x:c>
      <x:c r="J53" s="20" t="n">
        <x:v>128800</x:v>
      </x:c>
    </x:row>
    <x:row r="54">
      <x:c r="A54" s="17" t="str">
        <x:v>SO-10053</x:v>
      </x:c>
      <x:c r="B54" s="17" t="n">
        <x:v>46158</x:v>
      </x:c>
      <x:c r="C54" s="18" t="str">
        <x:v>East</x:v>
      </x:c>
      <x:c r="D54" s="18" t="str">
        <x:v>Electronics</x:v>
      </x:c>
      <x:c r="E54" s="18" t="str">
        <x:v>Corporate</x:v>
      </x:c>
      <x:c r="F54" s="18" t="str">
        <x:v>Monitor</x:v>
      </x:c>
      <x:c r="G54" s="18" t="str">
        <x:v>Pooja</x:v>
      </x:c>
      <x:c r="H54" s="19" t="n">
        <x:v>8</x:v>
      </x:c>
      <x:c r="I54" s="20" t="n">
        <x:v>21000</x:v>
      </x:c>
      <x:c r="J54" s="20" t="n">
        <x:v>168000</x:v>
      </x:c>
    </x:row>
    <x:row r="55">
      <x:c r="A55" s="17" t="str">
        <x:v>SO-10054</x:v>
      </x:c>
      <x:c r="B55" s="17" t="n">
        <x:v>46196</x:v>
      </x:c>
      <x:c r="C55" s="18" t="str">
        <x:v>North</x:v>
      </x:c>
      <x:c r="D55" s="18" t="str">
        <x:v>Office Supplies</x:v>
      </x:c>
      <x:c r="E55" s="18" t="str">
        <x:v>Home Office</x:v>
      </x:c>
      <x:c r="F55" s="18" t="str">
        <x:v>Printer</x:v>
      </x:c>
      <x:c r="G55" s="18" t="str">
        <x:v>Rahul</x:v>
      </x:c>
      <x:c r="H55" s="19" t="n">
        <x:v>10</x:v>
      </x:c>
      <x:c r="I55" s="20" t="n">
        <x:v>19000</x:v>
      </x:c>
      <x:c r="J55" s="20" t="n">
        <x:v>190000</x:v>
      </x:c>
    </x:row>
    <x:row r="56">
      <x:c r="A56" s="17" t="str">
        <x:v>SO-10055</x:v>
      </x:c>
      <x:c r="B56" s="17" t="n">
        <x:v>46208</x:v>
      </x:c>
      <x:c r="C56" s="18" t="str">
        <x:v>West</x:v>
      </x:c>
      <x:c r="D56" s="18" t="str">
        <x:v>Electronics</x:v>
      </x:c>
      <x:c r="E56" s="18" t="str">
        <x:v>Consumer</x:v>
      </x:c>
      <x:c r="F56" s="18" t="str">
        <x:v>Laptop</x:v>
      </x:c>
      <x:c r="G56" s="18" t="str">
        <x:v>Vikram</x:v>
      </x:c>
      <x:c r="H56" s="19" t="n">
        <x:v>6</x:v>
      </x:c>
      <x:c r="I56" s="20" t="n">
        <x:v>81900</x:v>
      </x:c>
      <x:c r="J56" s="20" t="n">
        <x:v>491400</x:v>
      </x:c>
    </x:row>
    <x:row r="57">
      <x:c r="A57" s="17" t="str">
        <x:v>SO-10056</x:v>
      </x:c>
      <x:c r="B57" s="17" t="n">
        <x:v>46246</x:v>
      </x:c>
      <x:c r="C57" s="18" t="str">
        <x:v>South</x:v>
      </x:c>
      <x:c r="D57" s="18" t="str">
        <x:v>Accessories</x:v>
      </x:c>
      <x:c r="E57" s="18" t="str">
        <x:v>Corporate</x:v>
      </x:c>
      <x:c r="F57" s="18" t="str">
        <x:v>Keyboard</x:v>
      </x:c>
      <x:c r="G57" s="18" t="str">
        <x:v>Neha</x:v>
      </x:c>
      <x:c r="H57" s="19" t="n">
        <x:v>7</x:v>
      </x:c>
      <x:c r="I57" s="20" t="n">
        <x:v>3400</x:v>
      </x:c>
      <x:c r="J57" s="20" t="n">
        <x:v>23800</x:v>
      </x:c>
    </x:row>
    <x:row r="58">
      <x:c r="A58" s="17" t="str">
        <x:v>SO-10057</x:v>
      </x:c>
      <x:c r="B58" s="17" t="n">
        <x:v>46284</x:v>
      </x:c>
      <x:c r="C58" s="18" t="str">
        <x:v>Central</x:v>
      </x:c>
      <x:c r="D58" s="18" t="str">
        <x:v>Electronics</x:v>
      </x:c>
      <x:c r="E58" s="18" t="str">
        <x:v>Home Office</x:v>
      </x:c>
      <x:c r="F58" s="18" t="str">
        <x:v>TV</x:v>
      </x:c>
      <x:c r="G58" s="18" t="str">
        <x:v>Aman</x:v>
      </x:c>
      <x:c r="H58" s="19" t="n">
        <x:v>4</x:v>
      </x:c>
      <x:c r="I58" s="20" t="n">
        <x:v>48100</x:v>
      </x:c>
      <x:c r="J58" s="20" t="n">
        <x:v>192400</x:v>
      </x:c>
    </x:row>
    <x:row r="59">
      <x:c r="A59" s="17" t="str">
        <x:v>SO-10058</x:v>
      </x:c>
      <x:c r="B59" s="17" t="n">
        <x:v>46321</x:v>
      </x:c>
      <x:c r="C59" s="18" t="str">
        <x:v>East</x:v>
      </x:c>
      <x:c r="D59" s="18" t="str">
        <x:v>Electronics</x:v>
      </x:c>
      <x:c r="E59" s="18" t="str">
        <x:v>Consumer</x:v>
      </x:c>
      <x:c r="F59" s="18" t="str">
        <x:v>Mobile</x:v>
      </x:c>
      <x:c r="G59" s="18" t="str">
        <x:v>Rohit</x:v>
      </x:c>
      <x:c r="H59" s="19" t="n">
        <x:v>6</x:v>
      </x:c>
      <x:c r="I59" s="20" t="n">
        <x:v>39900</x:v>
      </x:c>
      <x:c r="J59" s="20" t="n">
        <x:v>239400</x:v>
      </x:c>
    </x:row>
    <x:row r="60">
      <x:c r="A60" s="17" t="str">
        <x:v>SO-10059</x:v>
      </x:c>
      <x:c r="B60" s="17" t="n">
        <x:v>46334</x:v>
      </x:c>
      <x:c r="C60" s="18" t="str">
        <x:v>North</x:v>
      </x:c>
      <x:c r="D60" s="18" t="str">
        <x:v>Accessories</x:v>
      </x:c>
      <x:c r="E60" s="18" t="str">
        <x:v>Corporate</x:v>
      </x:c>
      <x:c r="F60" s="18" t="str">
        <x:v>Mouse</x:v>
      </x:c>
      <x:c r="G60" s="18" t="str">
        <x:v>Pooja</x:v>
      </x:c>
      <x:c r="H60" s="19" t="n">
        <x:v>11</x:v>
      </x:c>
      <x:c r="I60" s="20" t="n">
        <x:v>1800</x:v>
      </x:c>
      <x:c r="J60" s="20" t="n">
        <x:v>19800</x:v>
      </x:c>
    </x:row>
    <x:row r="61">
      <x:c r="A61" s="17" t="str">
        <x:v>SO-10060</x:v>
      </x:c>
      <x:c r="B61" s="17" t="n">
        <x:v>46371</x:v>
      </x:c>
      <x:c r="C61" s="18" t="str">
        <x:v>West</x:v>
      </x:c>
      <x:c r="D61" s="18" t="str">
        <x:v>Accessories</x:v>
      </x:c>
      <x:c r="E61" s="18" t="str">
        <x:v>Home Office</x:v>
      </x:c>
      <x:c r="F61" s="18" t="str">
        <x:v>Headphones</x:v>
      </x:c>
      <x:c r="G61" s="18" t="str">
        <x:v>Rahul</x:v>
      </x:c>
      <x:c r="H61" s="19" t="n">
        <x:v>5</x:v>
      </x:c>
      <x:c r="I61" s="20" t="n">
        <x:v>6200</x:v>
      </x:c>
      <x:c r="J61" s="20" t="n">
        <x:v>31000</x:v>
      </x:c>
    </x:row>
    <x:row r="62">
      <x:c r="A62" s="17" t="str">
        <x:v>SO-10061</x:v>
      </x:c>
      <x:c r="B62" s="17" t="n">
        <x:v>46044</x:v>
      </x:c>
      <x:c r="C62" s="18" t="str">
        <x:v>South</x:v>
      </x:c>
      <x:c r="D62" s="18" t="str">
        <x:v>Electronics</x:v>
      </x:c>
      <x:c r="E62" s="18" t="str">
        <x:v>Consumer</x:v>
      </x:c>
      <x:c r="F62" s="18" t="str">
        <x:v>Tablet</x:v>
      </x:c>
      <x:c r="G62" s="18" t="str">
        <x:v>Vikram</x:v>
      </x:c>
      <x:c r="H62" s="19" t="n">
        <x:v>11</x:v>
      </x:c>
      <x:c r="I62" s="20" t="n">
        <x:v>34800</x:v>
      </x:c>
      <x:c r="J62" s="20" t="n">
        <x:v>382800</x:v>
      </x:c>
    </x:row>
    <x:row r="63">
      <x:c r="A63" s="17" t="str">
        <x:v>SO-10062</x:v>
      </x:c>
      <x:c r="B63" s="17" t="n">
        <x:v>46057</x:v>
      </x:c>
      <x:c r="C63" s="18" t="str">
        <x:v>Central</x:v>
      </x:c>
      <x:c r="D63" s="18" t="str">
        <x:v>Furniture</x:v>
      </x:c>
      <x:c r="E63" s="18" t="str">
        <x:v>Corporate</x:v>
      </x:c>
      <x:c r="F63" s="18" t="str">
        <x:v>Office Chair</x:v>
      </x:c>
      <x:c r="G63" s="18" t="str">
        <x:v>Neha</x:v>
      </x:c>
      <x:c r="H63" s="19" t="n">
        <x:v>5</x:v>
      </x:c>
      <x:c r="I63" s="20" t="n">
        <x:v>17300</x:v>
      </x:c>
      <x:c r="J63" s="20" t="n">
        <x:v>86500</x:v>
      </x:c>
    </x:row>
    <x:row r="64">
      <x:c r="A64" s="17" t="str">
        <x:v>SO-10063</x:v>
      </x:c>
      <x:c r="B64" s="17" t="n">
        <x:v>46092</x:v>
      </x:c>
      <x:c r="C64" s="18" t="str">
        <x:v>East</x:v>
      </x:c>
      <x:c r="D64" s="18" t="str">
        <x:v>Electronics</x:v>
      </x:c>
      <x:c r="E64" s="18" t="str">
        <x:v>Home Office</x:v>
      </x:c>
      <x:c r="F64" s="18" t="str">
        <x:v>Monitor</x:v>
      </x:c>
      <x:c r="G64" s="18" t="str">
        <x:v>Aman</x:v>
      </x:c>
      <x:c r="H64" s="19" t="n">
        <x:v>8</x:v>
      </x:c>
      <x:c r="I64" s="20" t="n">
        <x:v>22600</x:v>
      </x:c>
      <x:c r="J64" s="20" t="n">
        <x:v>180800</x:v>
      </x:c>
    </x:row>
    <x:row r="65">
      <x:c r="A65" s="17" t="str">
        <x:v>SO-10064</x:v>
      </x:c>
      <x:c r="B65" s="17" t="n">
        <x:v>46130</x:v>
      </x:c>
      <x:c r="C65" s="18" t="str">
        <x:v>North</x:v>
      </x:c>
      <x:c r="D65" s="18" t="str">
        <x:v>Office Supplies</x:v>
      </x:c>
      <x:c r="E65" s="18" t="str">
        <x:v>Consumer</x:v>
      </x:c>
      <x:c r="F65" s="18" t="str">
        <x:v>Printer</x:v>
      </x:c>
      <x:c r="G65" s="18" t="str">
        <x:v>Rohit</x:v>
      </x:c>
      <x:c r="H65" s="19" t="n">
        <x:v>7</x:v>
      </x:c>
      <x:c r="I65" s="20" t="n">
        <x:v>17100</x:v>
      </x:c>
      <x:c r="J65" s="20" t="n">
        <x:v>119700</x:v>
      </x:c>
    </x:row>
    <x:row r="66">
      <x:c r="A66" s="17" t="str">
        <x:v>SO-10065</x:v>
      </x:c>
      <x:c r="B66" s="17" t="n">
        <x:v>46167</x:v>
      </x:c>
      <x:c r="C66" s="18" t="str">
        <x:v>West</x:v>
      </x:c>
      <x:c r="D66" s="18" t="str">
        <x:v>Electronics</x:v>
      </x:c>
      <x:c r="E66" s="18" t="str">
        <x:v>Corporate</x:v>
      </x:c>
      <x:c r="F66" s="18" t="str">
        <x:v>Laptop</x:v>
      </x:c>
      <x:c r="G66" s="18" t="str">
        <x:v>Pooja</x:v>
      </x:c>
      <x:c r="H66" s="19" t="n">
        <x:v>10</x:v>
      </x:c>
      <x:c r="I66" s="20" t="n">
        <x:v>74100</x:v>
      </x:c>
      <x:c r="J66" s="20" t="n">
        <x:v>741000</x:v>
      </x:c>
    </x:row>
    <x:row r="67">
      <x:c r="A67" s="17" t="str">
        <x:v>SO-10066</x:v>
      </x:c>
      <x:c r="B67" s="17" t="n">
        <x:v>46180</x:v>
      </x:c>
      <x:c r="C67" s="18" t="str">
        <x:v>South</x:v>
      </x:c>
      <x:c r="D67" s="18" t="str">
        <x:v>Accessories</x:v>
      </x:c>
      <x:c r="E67" s="18" t="str">
        <x:v>Home Office</x:v>
      </x:c>
      <x:c r="F67" s="18" t="str">
        <x:v>Keyboard</x:v>
      </x:c>
      <x:c r="G67" s="18" t="str">
        <x:v>Rahul</x:v>
      </x:c>
      <x:c r="H67" s="19" t="n">
        <x:v>10</x:v>
      </x:c>
      <x:c r="I67" s="20" t="n">
        <x:v>3100</x:v>
      </x:c>
      <x:c r="J67" s="20" t="n">
        <x:v>31000</x:v>
      </x:c>
    </x:row>
    <x:row r="68">
      <x:c r="A68" s="17" t="str">
        <x:v>SO-10067</x:v>
      </x:c>
      <x:c r="B68" s="17" t="n">
        <x:v>46217</x:v>
      </x:c>
      <x:c r="C68" s="18" t="str">
        <x:v>Central</x:v>
      </x:c>
      <x:c r="D68" s="18" t="str">
        <x:v>Electronics</x:v>
      </x:c>
      <x:c r="E68" s="18" t="str">
        <x:v>Consumer</x:v>
      </x:c>
      <x:c r="F68" s="18" t="str">
        <x:v>TV</x:v>
      </x:c>
      <x:c r="G68" s="18" t="str">
        <x:v>Vikram</x:v>
      </x:c>
      <x:c r="H68" s="19" t="n">
        <x:v>6</x:v>
      </x:c>
      <x:c r="I68" s="20" t="n">
        <x:v>52000</x:v>
      </x:c>
      <x:c r="J68" s="20" t="n">
        <x:v>312000</x:v>
      </x:c>
    </x:row>
    <x:row r="69">
      <x:c r="A69" s="17" t="str">
        <x:v>SO-10068</x:v>
      </x:c>
      <x:c r="B69" s="17" t="n">
        <x:v>46255</x:v>
      </x:c>
      <x:c r="C69" s="18" t="str">
        <x:v>East</x:v>
      </x:c>
      <x:c r="D69" s="18" t="str">
        <x:v>Electronics</x:v>
      </x:c>
      <x:c r="E69" s="18" t="str">
        <x:v>Corporate</x:v>
      </x:c>
      <x:c r="F69" s="18" t="str">
        <x:v>Mobile</x:v>
      </x:c>
      <x:c r="G69" s="18" t="str">
        <x:v>Neha</x:v>
      </x:c>
      <x:c r="H69" s="19" t="n">
        <x:v>10</x:v>
      </x:c>
      <x:c r="I69" s="20" t="n">
        <x:v>43000</x:v>
      </x:c>
      <x:c r="J69" s="20" t="n">
        <x:v>430000</x:v>
      </x:c>
    </x:row>
    <x:row r="70">
      <x:c r="A70" s="17" t="str">
        <x:v>SO-10069</x:v>
      </x:c>
      <x:c r="B70" s="17" t="n">
        <x:v>46268</x:v>
      </x:c>
      <x:c r="C70" s="18" t="str">
        <x:v>North</x:v>
      </x:c>
      <x:c r="D70" s="18" t="str">
        <x:v>Accessories</x:v>
      </x:c>
      <x:c r="E70" s="18" t="str">
        <x:v>Home Office</x:v>
      </x:c>
      <x:c r="F70" s="18" t="str">
        <x:v>Mouse</x:v>
      </x:c>
      <x:c r="G70" s="18" t="str">
        <x:v>Aman</x:v>
      </x:c>
      <x:c r="H70" s="19" t="n">
        <x:v>8</x:v>
      </x:c>
      <x:c r="I70" s="20" t="n">
        <x:v>1900</x:v>
      </x:c>
      <x:c r="J70" s="20" t="n">
        <x:v>15200</x:v>
      </x:c>
    </x:row>
    <x:row r="71">
      <x:c r="A71" s="17" t="str">
        <x:v>SO-10070</x:v>
      </x:c>
      <x:c r="B71" s="17" t="n">
        <x:v>46305</x:v>
      </x:c>
      <x:c r="C71" s="18" t="str">
        <x:v>West</x:v>
      </x:c>
      <x:c r="D71" s="18" t="str">
        <x:v>Accessories</x:v>
      </x:c>
      <x:c r="E71" s="18" t="str">
        <x:v>Consumer</x:v>
      </x:c>
      <x:c r="F71" s="18" t="str">
        <x:v>Headphones</x:v>
      </x:c>
      <x:c r="G71" s="18" t="str">
        <x:v>Rohit</x:v>
      </x:c>
      <x:c r="H71" s="19" t="n">
        <x:v>16</x:v>
      </x:c>
      <x:c r="I71" s="20" t="n">
        <x:v>6700</x:v>
      </x:c>
      <x:c r="J71" s="20" t="n">
        <x:v>107200</x:v>
      </x:c>
    </x:row>
    <x:row r="72">
      <x:c r="A72" s="17" t="str">
        <x:v>SO-10071</x:v>
      </x:c>
      <x:c r="B72" s="17" t="n">
        <x:v>46343</x:v>
      </x:c>
      <x:c r="C72" s="18" t="str">
        <x:v>South</x:v>
      </x:c>
      <x:c r="D72" s="18" t="str">
        <x:v>Electronics</x:v>
      </x:c>
      <x:c r="E72" s="18" t="str">
        <x:v>Corporate</x:v>
      </x:c>
      <x:c r="F72" s="18" t="str">
        <x:v>Tablet</x:v>
      </x:c>
      <x:c r="G72" s="18" t="str">
        <x:v>Pooja</x:v>
      </x:c>
      <x:c r="H72" s="19" t="n">
        <x:v>10</x:v>
      </x:c>
      <x:c r="I72" s="20" t="n">
        <x:v>31400</x:v>
      </x:c>
      <x:c r="J72" s="20" t="n">
        <x:v>314000</x:v>
      </x:c>
    </x:row>
    <x:row r="73">
      <x:c r="A73" s="17" t="str">
        <x:v>SO-10072</x:v>
      </x:c>
      <x:c r="B73" s="17" t="n">
        <x:v>46380</x:v>
      </x:c>
      <x:c r="C73" s="18" t="str">
        <x:v>Central</x:v>
      </x:c>
      <x:c r="D73" s="18" t="str">
        <x:v>Furniture</x:v>
      </x:c>
      <x:c r="E73" s="18" t="str">
        <x:v>Home Office</x:v>
      </x:c>
      <x:c r="F73" s="18" t="str">
        <x:v>Office Chair</x:v>
      </x:c>
      <x:c r="G73" s="18" t="str">
        <x:v>Rahul</x:v>
      </x:c>
      <x:c r="H73" s="19" t="n">
        <x:v>4</x:v>
      </x:c>
      <x:c r="I73" s="20" t="n">
        <x:v>15700</x:v>
      </x:c>
      <x:c r="J73" s="20" t="n">
        <x:v>62800</x:v>
      </x:c>
    </x:row>
    <x:row r="74">
      <x:c r="A74" s="17" t="str">
        <x:v>SO-10073</x:v>
      </x:c>
      <x:c r="B74" s="17" t="n">
        <x:v>46028</x:v>
      </x:c>
      <x:c r="C74" s="18" t="str">
        <x:v>East</x:v>
      </x:c>
      <x:c r="D74" s="18" t="str">
        <x:v>Electronics</x:v>
      </x:c>
      <x:c r="E74" s="18" t="str">
        <x:v>Consumer</x:v>
      </x:c>
      <x:c r="F74" s="18" t="str">
        <x:v>Monitor</x:v>
      </x:c>
      <x:c r="G74" s="18" t="str">
        <x:v>Vikram</x:v>
      </x:c>
      <x:c r="H74" s="19" t="n">
        <x:v>11</x:v>
      </x:c>
      <x:c r="I74" s="20" t="n">
        <x:v>20500</x:v>
      </x:c>
      <x:c r="J74" s="20" t="n">
        <x:v>225500</x:v>
      </x:c>
    </x:row>
    <x:row r="75">
      <x:c r="A75" s="17" t="str">
        <x:v>SO-10074</x:v>
      </x:c>
      <x:c r="B75" s="17" t="n">
        <x:v>46066</x:v>
      </x:c>
      <x:c r="C75" s="18" t="str">
        <x:v>North</x:v>
      </x:c>
      <x:c r="D75" s="18" t="str">
        <x:v>Office Supplies</x:v>
      </x:c>
      <x:c r="E75" s="18" t="str">
        <x:v>Corporate</x:v>
      </x:c>
      <x:c r="F75" s="18" t="str">
        <x:v>Printer</x:v>
      </x:c>
      <x:c r="G75" s="18" t="str">
        <x:v>Neha</x:v>
      </x:c>
      <x:c r="H75" s="19" t="n">
        <x:v>11</x:v>
      </x:c>
      <x:c r="I75" s="20" t="n">
        <x:v>18500</x:v>
      </x:c>
      <x:c r="J75" s="20" t="n">
        <x:v>203500</x:v>
      </x:c>
    </x:row>
    <x:row r="76">
      <x:c r="A76" s="17" t="str">
        <x:v>SO-10075</x:v>
      </x:c>
      <x:c r="B76" s="17" t="n">
        <x:v>46101</x:v>
      </x:c>
      <x:c r="C76" s="18" t="str">
        <x:v>West</x:v>
      </x:c>
      <x:c r="D76" s="18" t="str">
        <x:v>Electronics</x:v>
      </x:c>
      <x:c r="E76" s="18" t="str">
        <x:v>Home Office</x:v>
      </x:c>
      <x:c r="F76" s="18" t="str">
        <x:v>Laptop</x:v>
      </x:c>
      <x:c r="G76" s="18" t="str">
        <x:v>Aman</x:v>
      </x:c>
      <x:c r="H76" s="19" t="n">
        <x:v>10</x:v>
      </x:c>
      <x:c r="I76" s="20" t="n">
        <x:v>80000</x:v>
      </x:c>
      <x:c r="J76" s="20" t="n">
        <x:v>800000</x:v>
      </x:c>
    </x:row>
    <x:row r="77">
      <x:c r="A77" s="17" t="str">
        <x:v>SO-10076</x:v>
      </x:c>
      <x:c r="B77" s="17" t="n">
        <x:v>46114</x:v>
      </x:c>
      <x:c r="C77" s="18" t="str">
        <x:v>South</x:v>
      </x:c>
      <x:c r="D77" s="18" t="str">
        <x:v>Accessories</x:v>
      </x:c>
      <x:c r="E77" s="18" t="str">
        <x:v>Consumer</x:v>
      </x:c>
      <x:c r="F77" s="18" t="str">
        <x:v>Keyboard</x:v>
      </x:c>
      <x:c r="G77" s="18" t="str">
        <x:v>Rohit</x:v>
      </x:c>
      <x:c r="H77" s="19" t="n">
        <x:v>9</x:v>
      </x:c>
      <x:c r="I77" s="20" t="n">
        <x:v>3400</x:v>
      </x:c>
      <x:c r="J77" s="20" t="n">
        <x:v>30600</x:v>
      </x:c>
    </x:row>
    <x:row r="78">
      <x:c r="A78" s="17" t="str">
        <x:v>SO-10077</x:v>
      </x:c>
      <x:c r="B78" s="17" t="n">
        <x:v>46151</x:v>
      </x:c>
      <x:c r="C78" s="18" t="str">
        <x:v>Central</x:v>
      </x:c>
      <x:c r="D78" s="18" t="str">
        <x:v>Electronics</x:v>
      </x:c>
      <x:c r="E78" s="18" t="str">
        <x:v>Corporate</x:v>
      </x:c>
      <x:c r="F78" s="18" t="str">
        <x:v>TV</x:v>
      </x:c>
      <x:c r="G78" s="18" t="str">
        <x:v>Pooja</x:v>
      </x:c>
      <x:c r="H78" s="19" t="n">
        <x:v>10</x:v>
      </x:c>
      <x:c r="I78" s="20" t="n">
        <x:v>55900</x:v>
      </x:c>
      <x:c r="J78" s="20" t="n">
        <x:v>559000</x:v>
      </x:c>
    </x:row>
    <x:row r="79">
      <x:c r="A79" s="17" t="str">
        <x:v>SO-10078</x:v>
      </x:c>
      <x:c r="B79" s="17" t="n">
        <x:v>46189</x:v>
      </x:c>
      <x:c r="C79" s="18" t="str">
        <x:v>East</x:v>
      </x:c>
      <x:c r="D79" s="18" t="str">
        <x:v>Electronics</x:v>
      </x:c>
      <x:c r="E79" s="18" t="str">
        <x:v>Home Office</x:v>
      </x:c>
      <x:c r="F79" s="18" t="str">
        <x:v>Mobile</x:v>
      </x:c>
      <x:c r="G79" s="18" t="str">
        <x:v>Rahul</x:v>
      </x:c>
      <x:c r="H79" s="19" t="n">
        <x:v>6</x:v>
      </x:c>
      <x:c r="I79" s="20" t="n">
        <x:v>38800</x:v>
      </x:c>
      <x:c r="J79" s="20" t="n">
        <x:v>232800</x:v>
      </x:c>
    </x:row>
    <x:row r="80">
      <x:c r="A80" s="17" t="str">
        <x:v>SO-10079</x:v>
      </x:c>
      <x:c r="B80" s="17" t="n">
        <x:v>46226</x:v>
      </x:c>
      <x:c r="C80" s="18" t="str">
        <x:v>North</x:v>
      </x:c>
      <x:c r="D80" s="18" t="str">
        <x:v>Accessories</x:v>
      </x:c>
      <x:c r="E80" s="18" t="str">
        <x:v>Consumer</x:v>
      </x:c>
      <x:c r="F80" s="18" t="str">
        <x:v>Mouse</x:v>
      </x:c>
      <x:c r="G80" s="18" t="str">
        <x:v>Vikram</x:v>
      </x:c>
      <x:c r="H80" s="19" t="n">
        <x:v>6</x:v>
      </x:c>
      <x:c r="I80" s="20" t="n">
        <x:v>1700</x:v>
      </x:c>
      <x:c r="J80" s="20" t="n">
        <x:v>10200</x:v>
      </x:c>
    </x:row>
    <x:row r="81">
      <x:c r="A81" s="17" t="str">
        <x:v>SO-10080</x:v>
      </x:c>
      <x:c r="B81" s="17" t="n">
        <x:v>46239</x:v>
      </x:c>
      <x:c r="C81" s="18" t="str">
        <x:v>West</x:v>
      </x:c>
      <x:c r="D81" s="18" t="str">
        <x:v>Accessories</x:v>
      </x:c>
      <x:c r="E81" s="18" t="str">
        <x:v>Corporate</x:v>
      </x:c>
      <x:c r="F81" s="18" t="str">
        <x:v>Headphones</x:v>
      </x:c>
      <x:c r="G81" s="18" t="str">
        <x:v>Neha</x:v>
      </x:c>
      <x:c r="H81" s="19" t="n">
        <x:v>7</x:v>
      </x:c>
      <x:c r="I81" s="20" t="n">
        <x:v>6000</x:v>
      </x:c>
      <x:c r="J81" s="20" t="n">
        <x:v>42000</x:v>
      </x:c>
    </x:row>
    <x:row r="82">
      <x:c r="A82" s="17" t="str">
        <x:v>SO-10081</x:v>
      </x:c>
      <x:c r="B82" s="17" t="n">
        <x:v>46277</x:v>
      </x:c>
      <x:c r="C82" s="18" t="str">
        <x:v>South</x:v>
      </x:c>
      <x:c r="D82" s="18" t="str">
        <x:v>Electronics</x:v>
      </x:c>
      <x:c r="E82" s="18" t="str">
        <x:v>Home Office</x:v>
      </x:c>
      <x:c r="F82" s="18" t="str">
        <x:v>Tablet</x:v>
      </x:c>
      <x:c r="G82" s="18" t="str">
        <x:v>Aman</x:v>
      </x:c>
      <x:c r="H82" s="19" t="n">
        <x:v>7</x:v>
      </x:c>
      <x:c r="I82" s="20" t="n">
        <x:v>34000</x:v>
      </x:c>
      <x:c r="J82" s="20" t="n">
        <x:v>238000</x:v>
      </x:c>
    </x:row>
    <x:row r="83">
      <x:c r="A83" s="17" t="str">
        <x:v>SO-10082</x:v>
      </x:c>
      <x:c r="B83" s="17" t="n">
        <x:v>46314</x:v>
      </x:c>
      <x:c r="C83" s="18" t="str">
        <x:v>Central</x:v>
      </x:c>
      <x:c r="D83" s="18" t="str">
        <x:v>Furniture</x:v>
      </x:c>
      <x:c r="E83" s="18" t="str">
        <x:v>Consumer</x:v>
      </x:c>
      <x:c r="F83" s="18" t="str">
        <x:v>Office Chair</x:v>
      </x:c>
      <x:c r="G83" s="18" t="str">
        <x:v>Rohit</x:v>
      </x:c>
      <x:c r="H83" s="19" t="n">
        <x:v>13</x:v>
      </x:c>
      <x:c r="I83" s="20" t="n">
        <x:v>16900</x:v>
      </x:c>
      <x:c r="J83" s="20" t="n">
        <x:v>219700</x:v>
      </x:c>
    </x:row>
    <x:row r="84">
      <x:c r="A84" s="17" t="str">
        <x:v>SO-10083</x:v>
      </x:c>
      <x:c r="B84" s="17" t="n">
        <x:v>46352</x:v>
      </x:c>
      <x:c r="C84" s="18" t="str">
        <x:v>East</x:v>
      </x:c>
      <x:c r="D84" s="18" t="str">
        <x:v>Electronics</x:v>
      </x:c>
      <x:c r="E84" s="18" t="str">
        <x:v>Corporate</x:v>
      </x:c>
      <x:c r="F84" s="18" t="str">
        <x:v>Monitor</x:v>
      </x:c>
      <x:c r="G84" s="18" t="str">
        <x:v>Pooja</x:v>
      </x:c>
      <x:c r="H84" s="19" t="n">
        <x:v>11</x:v>
      </x:c>
      <x:c r="I84" s="20" t="n">
        <x:v>22000</x:v>
      </x:c>
      <x:c r="J84" s="20" t="n">
        <x:v>242000</x:v>
      </x:c>
    </x:row>
    <x:row r="85">
      <x:c r="A85" s="17" t="str">
        <x:v>SO-10084</x:v>
      </x:c>
      <x:c r="B85" s="17" t="n">
        <x:v>46364</x:v>
      </x:c>
      <x:c r="C85" s="18" t="str">
        <x:v>North</x:v>
      </x:c>
      <x:c r="D85" s="18" t="str">
        <x:v>Office Supplies</x:v>
      </x:c>
      <x:c r="E85" s="18" t="str">
        <x:v>Home Office</x:v>
      </x:c>
      <x:c r="F85" s="18" t="str">
        <x:v>Printer</x:v>
      </x:c>
      <x:c r="G85" s="18" t="str">
        <x:v>Rahul</x:v>
      </x:c>
      <x:c r="H85" s="19" t="n">
        <x:v>14</x:v>
      </x:c>
      <x:c r="I85" s="20" t="n">
        <x:v>19900</x:v>
      </x:c>
      <x:c r="J85" s="20" t="n">
        <x:v>278600</x:v>
      </x:c>
    </x:row>
    <x:row r="86">
      <x:c r="A86" s="17" t="str">
        <x:v>SO-10085</x:v>
      </x:c>
      <x:c r="B86" s="17" t="n">
        <x:v>46037</x:v>
      </x:c>
      <x:c r="C86" s="18" t="str">
        <x:v>West</x:v>
      </x:c>
      <x:c r="D86" s="18" t="str">
        <x:v>Electronics</x:v>
      </x:c>
      <x:c r="E86" s="18" t="str">
        <x:v>Consumer</x:v>
      </x:c>
      <x:c r="F86" s="18" t="str">
        <x:v>Laptop</x:v>
      </x:c>
      <x:c r="G86" s="18" t="str">
        <x:v>Vikram</x:v>
      </x:c>
      <x:c r="H86" s="19" t="n">
        <x:v>8</x:v>
      </x:c>
      <x:c r="I86" s="20" t="n">
        <x:v>72200</x:v>
      </x:c>
      <x:c r="J86" s="20" t="n">
        <x:v>577600</x:v>
      </x:c>
    </x:row>
    <x:row r="87">
      <x:c r="A87" s="17" t="str">
        <x:v>SO-10086</x:v>
      </x:c>
      <x:c r="B87" s="17" t="n">
        <x:v>46075</x:v>
      </x:c>
      <x:c r="C87" s="18" t="str">
        <x:v>South</x:v>
      </x:c>
      <x:c r="D87" s="18" t="str">
        <x:v>Accessories</x:v>
      </x:c>
      <x:c r="E87" s="18" t="str">
        <x:v>Corporate</x:v>
      </x:c>
      <x:c r="F87" s="18" t="str">
        <x:v>Keyboard</x:v>
      </x:c>
      <x:c r="G87" s="18" t="str">
        <x:v>Neha</x:v>
      </x:c>
      <x:c r="H87" s="19" t="n">
        <x:v>5</x:v>
      </x:c>
      <x:c r="I87" s="20" t="n">
        <x:v>3000</x:v>
      </x:c>
      <x:c r="J87" s="20" t="n">
        <x:v>15000</x:v>
      </x:c>
    </x:row>
    <x:row r="88">
      <x:c r="A88" s="17" t="str">
        <x:v>SO-10087</x:v>
      </x:c>
      <x:c r="B88" s="17" t="n">
        <x:v>46085</x:v>
      </x:c>
      <x:c r="C88" s="18" t="str">
        <x:v>Central</x:v>
      </x:c>
      <x:c r="D88" s="18" t="str">
        <x:v>Electronics</x:v>
      </x:c>
      <x:c r="E88" s="18" t="str">
        <x:v>Home Office</x:v>
      </x:c>
      <x:c r="F88" s="18" t="str">
        <x:v>TV</x:v>
      </x:c>
      <x:c r="G88" s="18" t="str">
        <x:v>Aman</x:v>
      </x:c>
      <x:c r="H88" s="19" t="n">
        <x:v>7</x:v>
      </x:c>
      <x:c r="I88" s="20" t="n">
        <x:v>50700</x:v>
      </x:c>
      <x:c r="J88" s="20" t="n">
        <x:v>354900</x:v>
      </x:c>
    </x:row>
    <x:row r="89">
      <x:c r="A89" s="17" t="str">
        <x:v>SO-10088</x:v>
      </x:c>
      <x:c r="B89" s="17" t="n">
        <x:v>46123</x:v>
      </x:c>
      <x:c r="C89" s="18" t="str">
        <x:v>East</x:v>
      </x:c>
      <x:c r="D89" s="18" t="str">
        <x:v>Electronics</x:v>
      </x:c>
      <x:c r="E89" s="18" t="str">
        <x:v>Consumer</x:v>
      </x:c>
      <x:c r="F89" s="18" t="str">
        <x:v>Mobile</x:v>
      </x:c>
      <x:c r="G89" s="18" t="str">
        <x:v>Rohit</x:v>
      </x:c>
      <x:c r="H89" s="19" t="n">
        <x:v>6</x:v>
      </x:c>
      <x:c r="I89" s="20" t="n">
        <x:v>42000</x:v>
      </x:c>
      <x:c r="J89" s="20" t="n">
        <x:v>252000</x:v>
      </x:c>
    </x:row>
    <x:row r="90">
      <x:c r="A90" s="17" t="str">
        <x:v>SO-10089</x:v>
      </x:c>
      <x:c r="B90" s="17" t="n">
        <x:v>46160</x:v>
      </x:c>
      <x:c r="C90" s="18" t="str">
        <x:v>North</x:v>
      </x:c>
      <x:c r="D90" s="18" t="str">
        <x:v>Accessories</x:v>
      </x:c>
      <x:c r="E90" s="18" t="str">
        <x:v>Corporate</x:v>
      </x:c>
      <x:c r="F90" s="18" t="str">
        <x:v>Mouse</x:v>
      </x:c>
      <x:c r="G90" s="18" t="str">
        <x:v>Pooja</x:v>
      </x:c>
      <x:c r="H90" s="19" t="n">
        <x:v>8</x:v>
      </x:c>
      <x:c r="I90" s="20" t="n">
        <x:v>1800</x:v>
      </x:c>
      <x:c r="J90" s="20" t="n">
        <x:v>14400</x:v>
      </x:c>
    </x:row>
    <x:row r="91">
      <x:c r="A91" s="17" t="str">
        <x:v>SO-10090</x:v>
      </x:c>
      <x:c r="B91" s="17" t="n">
        <x:v>46198</x:v>
      </x:c>
      <x:c r="C91" s="18" t="str">
        <x:v>West</x:v>
      </x:c>
      <x:c r="D91" s="18" t="str">
        <x:v>Accessories</x:v>
      </x:c>
      <x:c r="E91" s="18" t="str">
        <x:v>Home Office</x:v>
      </x:c>
      <x:c r="F91" s="18" t="str">
        <x:v>Headphones</x:v>
      </x:c>
      <x:c r="G91" s="18" t="str">
        <x:v>Rahul</x:v>
      </x:c>
      <x:c r="H91" s="19" t="n">
        <x:v>9</x:v>
      </x:c>
      <x:c r="I91" s="20" t="n">
        <x:v>6500</x:v>
      </x:c>
      <x:c r="J91" s="20" t="n">
        <x:v>58500</x:v>
      </x:c>
    </x:row>
    <x:row r="92">
      <x:c r="A92" s="17" t="str">
        <x:v>SO-10091</x:v>
      </x:c>
      <x:c r="B92" s="17" t="n">
        <x:v>46210</x:v>
      </x:c>
      <x:c r="C92" s="18" t="str">
        <x:v>South</x:v>
      </x:c>
      <x:c r="D92" s="18" t="str">
        <x:v>Electronics</x:v>
      </x:c>
      <x:c r="E92" s="18" t="str">
        <x:v>Consumer</x:v>
      </x:c>
      <x:c r="F92" s="18" t="str">
        <x:v>Tablet</x:v>
      </x:c>
      <x:c r="G92" s="18" t="str">
        <x:v>Vikram</x:v>
      </x:c>
      <x:c r="H92" s="19" t="n">
        <x:v>6</x:v>
      </x:c>
      <x:c r="I92" s="20" t="n">
        <x:v>36600</x:v>
      </x:c>
      <x:c r="J92" s="20" t="n">
        <x:v>219600</x:v>
      </x:c>
    </x:row>
    <x:row r="93">
      <x:c r="A93" s="17" t="str">
        <x:v>SO-10092</x:v>
      </x:c>
      <x:c r="B93" s="17" t="n">
        <x:v>46248</x:v>
      </x:c>
      <x:c r="C93" s="18" t="str">
        <x:v>Central</x:v>
      </x:c>
      <x:c r="D93" s="18" t="str">
        <x:v>Furniture</x:v>
      </x:c>
      <x:c r="E93" s="18" t="str">
        <x:v>Corporate</x:v>
      </x:c>
      <x:c r="F93" s="18" t="str">
        <x:v>Office Chair</x:v>
      </x:c>
      <x:c r="G93" s="18" t="str">
        <x:v>Neha</x:v>
      </x:c>
      <x:c r="H93" s="19" t="n">
        <x:v>3</x:v>
      </x:c>
      <x:c r="I93" s="20" t="n">
        <x:v>15300</x:v>
      </x:c>
      <x:c r="J93" s="20" t="n">
        <x:v>45900</x:v>
      </x:c>
    </x:row>
    <x:row r="94">
      <x:c r="A94" s="17" t="str">
        <x:v>SO-10093</x:v>
      </x:c>
      <x:c r="B94" s="17" t="n">
        <x:v>46286</x:v>
      </x:c>
      <x:c r="C94" s="18" t="str">
        <x:v>East</x:v>
      </x:c>
      <x:c r="D94" s="18" t="str">
        <x:v>Electronics</x:v>
      </x:c>
      <x:c r="E94" s="18" t="str">
        <x:v>Home Office</x:v>
      </x:c>
      <x:c r="F94" s="18" t="str">
        <x:v>Monitor</x:v>
      </x:c>
      <x:c r="G94" s="18" t="str">
        <x:v>Aman</x:v>
      </x:c>
      <x:c r="H94" s="19" t="n">
        <x:v>4</x:v>
      </x:c>
      <x:c r="I94" s="20" t="n">
        <x:v>20000</x:v>
      </x:c>
      <x:c r="J94" s="20" t="n">
        <x:v>80000</x:v>
      </x:c>
    </x:row>
    <x:row r="95">
      <x:c r="A95" s="17" t="str">
        <x:v>SO-10094</x:v>
      </x:c>
      <x:c r="B95" s="17" t="n">
        <x:v>46298</x:v>
      </x:c>
      <x:c r="C95" s="18" t="str">
        <x:v>North</x:v>
      </x:c>
      <x:c r="D95" s="18" t="str">
        <x:v>Office Supplies</x:v>
      </x:c>
      <x:c r="E95" s="18" t="str">
        <x:v>Consumer</x:v>
      </x:c>
      <x:c r="F95" s="18" t="str">
        <x:v>Printer</x:v>
      </x:c>
      <x:c r="G95" s="18" t="str">
        <x:v>Rohit</x:v>
      </x:c>
      <x:c r="H95" s="19" t="n">
        <x:v>7</x:v>
      </x:c>
      <x:c r="I95" s="20" t="n">
        <x:v>18000</x:v>
      </x:c>
      <x:c r="J95" s="20" t="n">
        <x:v>126000</x:v>
      </x:c>
    </x:row>
    <x:row r="96">
      <x:c r="A96" s="17" t="str">
        <x:v>SO-10095</x:v>
      </x:c>
      <x:c r="B96" s="17" t="n">
        <x:v>46336</x:v>
      </x:c>
      <x:c r="C96" s="18" t="str">
        <x:v>West</x:v>
      </x:c>
      <x:c r="D96" s="18" t="str">
        <x:v>Electronics</x:v>
      </x:c>
      <x:c r="E96" s="18" t="str">
        <x:v>Corporate</x:v>
      </x:c>
      <x:c r="F96" s="18" t="str">
        <x:v>Laptop</x:v>
      </x:c>
      <x:c r="G96" s="18" t="str">
        <x:v>Pooja</x:v>
      </x:c>
      <x:c r="H96" s="19" t="n">
        <x:v>9</x:v>
      </x:c>
      <x:c r="I96" s="20" t="n">
        <x:v>78000</x:v>
      </x:c>
      <x:c r="J96" s="20" t="n">
        <x:v>702000</x:v>
      </x:c>
    </x:row>
    <x:row r="97">
      <x:c r="A97" s="17" t="str">
        <x:v>SO-10096</x:v>
      </x:c>
      <x:c r="B97" s="17" t="n">
        <x:v>46373</x:v>
      </x:c>
      <x:c r="C97" s="18" t="str">
        <x:v>South</x:v>
      </x:c>
      <x:c r="D97" s="18" t="str">
        <x:v>Accessories</x:v>
      </x:c>
      <x:c r="E97" s="18" t="str">
        <x:v>Home Office</x:v>
      </x:c>
      <x:c r="F97" s="18" t="str">
        <x:v>Keyboard</x:v>
      </x:c>
      <x:c r="G97" s="18" t="str">
        <x:v>Rahul</x:v>
      </x:c>
      <x:c r="H97" s="19" t="n">
        <x:v>6</x:v>
      </x:c>
      <x:c r="I97" s="20" t="n">
        <x:v>3300</x:v>
      </x:c>
      <x:c r="J97" s="20" t="n">
        <x:v>19800</x:v>
      </x:c>
    </x:row>
    <x:row r="98">
      <x:c r="A98" s="17" t="str">
        <x:v>SO-10097</x:v>
      </x:c>
      <x:c r="B98" s="17" t="n">
        <x:v>46046</x:v>
      </x:c>
      <x:c r="C98" s="18" t="str">
        <x:v>Central</x:v>
      </x:c>
      <x:c r="D98" s="18" t="str">
        <x:v>Electronics</x:v>
      </x:c>
      <x:c r="E98" s="18" t="str">
        <x:v>Consumer</x:v>
      </x:c>
      <x:c r="F98" s="18" t="str">
        <x:v>TV</x:v>
      </x:c>
      <x:c r="G98" s="18" t="str">
        <x:v>Vikram</x:v>
      </x:c>
      <x:c r="H98" s="19" t="n">
        <x:v>7</x:v>
      </x:c>
      <x:c r="I98" s="20" t="n">
        <x:v>54600</x:v>
      </x:c>
      <x:c r="J98" s="20" t="n">
        <x:v>382200</x:v>
      </x:c>
    </x:row>
    <x:row r="99">
      <x:c r="A99" s="17" t="str">
        <x:v>SO-10098</x:v>
      </x:c>
      <x:c r="B99" s="17" t="n">
        <x:v>46059</x:v>
      </x:c>
      <x:c r="C99" s="18" t="str">
        <x:v>East</x:v>
      </x:c>
      <x:c r="D99" s="18" t="str">
        <x:v>Electronics</x:v>
      </x:c>
      <x:c r="E99" s="18" t="str">
        <x:v>Corporate</x:v>
      </x:c>
      <x:c r="F99" s="18" t="str">
        <x:v>Mobile</x:v>
      </x:c>
      <x:c r="G99" s="18" t="str">
        <x:v>Neha</x:v>
      </x:c>
      <x:c r="H99" s="19" t="n">
        <x:v>6</x:v>
      </x:c>
      <x:c r="I99" s="20" t="n">
        <x:v>45200</x:v>
      </x:c>
      <x:c r="J99" s="20" t="n">
        <x:v>271200</x:v>
      </x:c>
    </x:row>
    <x:row r="100">
      <x:c r="A100" s="17" t="str">
        <x:v>SO-10099</x:v>
      </x:c>
      <x:c r="B100" s="17" t="n">
        <x:v>46094</x:v>
      </x:c>
      <x:c r="C100" s="18" t="str">
        <x:v>North</x:v>
      </x:c>
      <x:c r="D100" s="18" t="str">
        <x:v>Accessories</x:v>
      </x:c>
      <x:c r="E100" s="18" t="str">
        <x:v>Home Office</x:v>
      </x:c>
      <x:c r="F100" s="18" t="str">
        <x:v>Mouse</x:v>
      </x:c>
      <x:c r="G100" s="18" t="str">
        <x:v>Aman</x:v>
      </x:c>
      <x:c r="H100" s="19" t="n">
        <x:v>7</x:v>
      </x:c>
      <x:c r="I100" s="20" t="n">
        <x:v>1700</x:v>
      </x:c>
      <x:c r="J100" s="20" t="n">
        <x:v>11900</x:v>
      </x:c>
    </x:row>
    <x:row r="101">
      <x:c r="A101" s="17" t="str">
        <x:v>SO-10100</x:v>
      </x:c>
      <x:c r="B101" s="17" t="n">
        <x:v>46132</x:v>
      </x:c>
      <x:c r="C101" s="18" t="str">
        <x:v>West</x:v>
      </x:c>
      <x:c r="D101" s="18" t="str">
        <x:v>Accessories</x:v>
      </x:c>
      <x:c r="E101" s="18" t="str">
        <x:v>Consumer</x:v>
      </x:c>
      <x:c r="F101" s="18" t="str">
        <x:v>Headphones</x:v>
      </x:c>
      <x:c r="G101" s="18" t="str">
        <x:v>Rohit</x:v>
      </x:c>
      <x:c r="H101" s="19" t="n">
        <x:v>10</x:v>
      </x:c>
      <x:c r="I101" s="20" t="n">
        <x:v>5900</x:v>
      </x:c>
      <x:c r="J101" s="20" t="n">
        <x:v>59000</x:v>
      </x:c>
    </x:row>
    <x:row r="102">
      <x:c r="A102" s="17" t="str">
        <x:v>SO-10101</x:v>
      </x:c>
      <x:c r="B102" s="17" t="n">
        <x:v>46144</x:v>
      </x:c>
      <x:c r="C102" s="18" t="str">
        <x:v>South</x:v>
      </x:c>
      <x:c r="D102" s="18" t="str">
        <x:v>Electronics</x:v>
      </x:c>
      <x:c r="E102" s="18" t="str">
        <x:v>Corporate</x:v>
      </x:c>
      <x:c r="F102" s="18" t="str">
        <x:v>Tablet</x:v>
      </x:c>
      <x:c r="G102" s="18" t="str">
        <x:v>Pooja</x:v>
      </x:c>
      <x:c r="H102" s="19" t="n">
        <x:v>6</x:v>
      </x:c>
      <x:c r="I102" s="20" t="n">
        <x:v>33200</x:v>
      </x:c>
      <x:c r="J102" s="20" t="n">
        <x:v>199200</x:v>
      </x:c>
    </x:row>
    <x:row r="103">
      <x:c r="A103" s="17" t="str">
        <x:v>SO-10102</x:v>
      </x:c>
      <x:c r="B103" s="17" t="n">
        <x:v>46182</x:v>
      </x:c>
      <x:c r="C103" s="18" t="str">
        <x:v>Central</x:v>
      </x:c>
      <x:c r="D103" s="18" t="str">
        <x:v>Furniture</x:v>
      </x:c>
      <x:c r="E103" s="18" t="str">
        <x:v>Home Office</x:v>
      </x:c>
      <x:c r="F103" s="18" t="str">
        <x:v>Office Chair</x:v>
      </x:c>
      <x:c r="G103" s="18" t="str">
        <x:v>Rahul</x:v>
      </x:c>
      <x:c r="H103" s="19" t="n">
        <x:v>9</x:v>
      </x:c>
      <x:c r="I103" s="20" t="n">
        <x:v>16500</x:v>
      </x:c>
      <x:c r="J103" s="20" t="n">
        <x:v>148500</x:v>
      </x:c>
    </x:row>
    <x:row r="104">
      <x:c r="A104" s="17" t="str">
        <x:v>SO-10103</x:v>
      </x:c>
      <x:c r="B104" s="17" t="n">
        <x:v>46219</x:v>
      </x:c>
      <x:c r="C104" s="18" t="str">
        <x:v>East</x:v>
      </x:c>
      <x:c r="D104" s="18" t="str">
        <x:v>Electronics</x:v>
      </x:c>
      <x:c r="E104" s="18" t="str">
        <x:v>Consumer</x:v>
      </x:c>
      <x:c r="F104" s="18" t="str">
        <x:v>Monitor</x:v>
      </x:c>
      <x:c r="G104" s="18" t="str">
        <x:v>Vikram</x:v>
      </x:c>
      <x:c r="H104" s="19" t="n">
        <x:v>5</x:v>
      </x:c>
      <x:c r="I104" s="20" t="n">
        <x:v>21500</x:v>
      </x:c>
      <x:c r="J104" s="20" t="n">
        <x:v>107500</x:v>
      </x:c>
    </x:row>
    <x:row r="105">
      <x:c r="A105" s="17" t="str">
        <x:v>SO-10104</x:v>
      </x:c>
      <x:c r="B105" s="17" t="n">
        <x:v>46257</x:v>
      </x:c>
      <x:c r="C105" s="18" t="str">
        <x:v>North</x:v>
      </x:c>
      <x:c r="D105" s="18" t="str">
        <x:v>Office Supplies</x:v>
      </x:c>
      <x:c r="E105" s="18" t="str">
        <x:v>Corporate</x:v>
      </x:c>
      <x:c r="F105" s="18" t="str">
        <x:v>Printer</x:v>
      </x:c>
      <x:c r="G105" s="18" t="str">
        <x:v>Neha</x:v>
      </x:c>
      <x:c r="H105" s="19" t="n">
        <x:v>8</x:v>
      </x:c>
      <x:c r="I105" s="20" t="n">
        <x:v>19400</x:v>
      </x:c>
      <x:c r="J105" s="20" t="n">
        <x:v>155200</x:v>
      </x:c>
    </x:row>
    <x:row r="106">
      <x:c r="A106" s="17" t="str">
        <x:v>SO-10105</x:v>
      </x:c>
      <x:c r="B106" s="17" t="n">
        <x:v>46270</x:v>
      </x:c>
      <x:c r="C106" s="18" t="str">
        <x:v>West</x:v>
      </x:c>
      <x:c r="D106" s="18" t="str">
        <x:v>Electronics</x:v>
      </x:c>
      <x:c r="E106" s="18" t="str">
        <x:v>Home Office</x:v>
      </x:c>
      <x:c r="F106" s="18" t="str">
        <x:v>Laptop</x:v>
      </x:c>
      <x:c r="G106" s="18" t="str">
        <x:v>Aman</x:v>
      </x:c>
      <x:c r="H106" s="19" t="n">
        <x:v>3</x:v>
      </x:c>
      <x:c r="I106" s="20" t="n">
        <x:v>83800</x:v>
      </x:c>
      <x:c r="J106" s="20" t="n">
        <x:v>251400</x:v>
      </x:c>
    </x:row>
    <x:row r="107">
      <x:c r="A107" s="17" t="str">
        <x:v>SO-10106</x:v>
      </x:c>
      <x:c r="B107" s="17" t="n">
        <x:v>46307</x:v>
      </x:c>
      <x:c r="C107" s="18" t="str">
        <x:v>South</x:v>
      </x:c>
      <x:c r="D107" s="18" t="str">
        <x:v>Accessories</x:v>
      </x:c>
      <x:c r="E107" s="18" t="str">
        <x:v>Consumer</x:v>
      </x:c>
      <x:c r="F107" s="18" t="str">
        <x:v>Keyboard</x:v>
      </x:c>
      <x:c r="G107" s="18" t="str">
        <x:v>Rohit</x:v>
      </x:c>
      <x:c r="H107" s="19" t="n">
        <x:v>8</x:v>
      </x:c>
      <x:c r="I107" s="20" t="n">
        <x:v>3000</x:v>
      </x:c>
      <x:c r="J107" s="20" t="n">
        <x:v>24000</x:v>
      </x:c>
    </x:row>
    <x:row r="108">
      <x:c r="A108" s="17" t="str">
        <x:v>SO-10107</x:v>
      </x:c>
      <x:c r="B108" s="17" t="n">
        <x:v>46345</x:v>
      </x:c>
      <x:c r="C108" s="18" t="str">
        <x:v>Central</x:v>
      </x:c>
      <x:c r="D108" s="18" t="str">
        <x:v>Electronics</x:v>
      </x:c>
      <x:c r="E108" s="18" t="str">
        <x:v>Corporate</x:v>
      </x:c>
      <x:c r="F108" s="18" t="str">
        <x:v>TV</x:v>
      </x:c>
      <x:c r="G108" s="18" t="str">
        <x:v>Pooja</x:v>
      </x:c>
      <x:c r="H108" s="19" t="n">
        <x:v>11</x:v>
      </x:c>
      <x:c r="I108" s="20" t="n">
        <x:v>49400</x:v>
      </x:c>
      <x:c r="J108" s="20" t="n">
        <x:v>543400</x:v>
      </x:c>
    </x:row>
    <x:row r="109">
      <x:c r="A109" s="17" t="str">
        <x:v>SO-10108</x:v>
      </x:c>
      <x:c r="B109" s="17" t="n">
        <x:v>46382</x:v>
      </x:c>
      <x:c r="C109" s="18" t="str">
        <x:v>East</x:v>
      </x:c>
      <x:c r="D109" s="18" t="str">
        <x:v>Electronics</x:v>
      </x:c>
      <x:c r="E109" s="18" t="str">
        <x:v>Home Office</x:v>
      </x:c>
      <x:c r="F109" s="18" t="str">
        <x:v>Mobile</x:v>
      </x:c>
      <x:c r="G109" s="18" t="str">
        <x:v>Rahul</x:v>
      </x:c>
      <x:c r="H109" s="19" t="n">
        <x:v>11</x:v>
      </x:c>
      <x:c r="I109" s="20" t="n">
        <x:v>41000</x:v>
      </x:c>
      <x:c r="J109" s="20" t="n">
        <x:v>451000</x:v>
      </x:c>
    </x:row>
    <x:row r="110">
      <x:c r="A110" s="17" t="str">
        <x:v>SO-10109</x:v>
      </x:c>
      <x:c r="B110" s="17" t="n">
        <x:v>46030</x:v>
      </x:c>
      <x:c r="C110" s="18" t="str">
        <x:v>North</x:v>
      </x:c>
      <x:c r="D110" s="18" t="str">
        <x:v>Accessories</x:v>
      </x:c>
      <x:c r="E110" s="18" t="str">
        <x:v>Consumer</x:v>
      </x:c>
      <x:c r="F110" s="18" t="str">
        <x:v>Mouse</x:v>
      </x:c>
      <x:c r="G110" s="18" t="str">
        <x:v>Vikram</x:v>
      </x:c>
      <x:c r="H110" s="19" t="n">
        <x:v>6</x:v>
      </x:c>
      <x:c r="I110" s="20" t="n">
        <x:v>1800</x:v>
      </x:c>
      <x:c r="J110" s="20" t="n">
        <x:v>10800</x:v>
      </x:c>
    </x:row>
    <x:row r="111">
      <x:c r="A111" s="17" t="str">
        <x:v>SO-10110</x:v>
      </x:c>
      <x:c r="B111" s="17" t="n">
        <x:v>46068</x:v>
      </x:c>
      <x:c r="C111" s="18" t="str">
        <x:v>West</x:v>
      </x:c>
      <x:c r="D111" s="18" t="str">
        <x:v>Accessories</x:v>
      </x:c>
      <x:c r="E111" s="18" t="str">
        <x:v>Corporate</x:v>
      </x:c>
      <x:c r="F111" s="18" t="str">
        <x:v>Headphones</x:v>
      </x:c>
      <x:c r="G111" s="18" t="str">
        <x:v>Neha</x:v>
      </x:c>
      <x:c r="H111" s="19" t="n">
        <x:v>10</x:v>
      </x:c>
      <x:c r="I111" s="20" t="n">
        <x:v>6400</x:v>
      </x:c>
      <x:c r="J111" s="20" t="n">
        <x:v>64000</x:v>
      </x:c>
    </x:row>
    <x:row r="112">
      <x:c r="A112" s="17" t="str">
        <x:v>SO-10111</x:v>
      </x:c>
      <x:c r="B112" s="17" t="n">
        <x:v>46103</x:v>
      </x:c>
      <x:c r="C112" s="18" t="str">
        <x:v>South</x:v>
      </x:c>
      <x:c r="D112" s="18" t="str">
        <x:v>Electronics</x:v>
      </x:c>
      <x:c r="E112" s="18" t="str">
        <x:v>Home Office</x:v>
      </x:c>
      <x:c r="F112" s="18" t="str">
        <x:v>Tablet</x:v>
      </x:c>
      <x:c r="G112" s="18" t="str">
        <x:v>Aman</x:v>
      </x:c>
      <x:c r="H112" s="19" t="n">
        <x:v>7</x:v>
      </x:c>
      <x:c r="I112" s="20" t="n">
        <x:v>35700</x:v>
      </x:c>
      <x:c r="J112" s="20" t="n">
        <x:v>249900</x:v>
      </x:c>
    </x:row>
    <x:row r="113">
      <x:c r="A113" s="17" t="str">
        <x:v>SO-10112</x:v>
      </x:c>
      <x:c r="B113" s="17" t="n">
        <x:v>46116</x:v>
      </x:c>
      <x:c r="C113" s="18" t="str">
        <x:v>Central</x:v>
      </x:c>
      <x:c r="D113" s="18" t="str">
        <x:v>Furniture</x:v>
      </x:c>
      <x:c r="E113" s="18" t="str">
        <x:v>Consumer</x:v>
      </x:c>
      <x:c r="F113" s="18" t="str">
        <x:v>Office Chair</x:v>
      </x:c>
      <x:c r="G113" s="18" t="str">
        <x:v>Rohit</x:v>
      </x:c>
      <x:c r="H113" s="19" t="n">
        <x:v>5</x:v>
      </x:c>
      <x:c r="I113" s="20" t="n">
        <x:v>17700</x:v>
      </x:c>
      <x:c r="J113" s="20" t="n">
        <x:v>88500</x:v>
      </x:c>
    </x:row>
    <x:row r="114">
      <x:c r="A114" s="17" t="str">
        <x:v>SO-10113</x:v>
      </x:c>
      <x:c r="B114" s="17" t="n">
        <x:v>46153</x:v>
      </x:c>
      <x:c r="C114" s="18" t="str">
        <x:v>East</x:v>
      </x:c>
      <x:c r="D114" s="18" t="str">
        <x:v>Electronics</x:v>
      </x:c>
      <x:c r="E114" s="18" t="str">
        <x:v>Corporate</x:v>
      </x:c>
      <x:c r="F114" s="18" t="str">
        <x:v>Monitor</x:v>
      </x:c>
      <x:c r="G114" s="18" t="str">
        <x:v>Pooja</x:v>
      </x:c>
      <x:c r="H114" s="19" t="n">
        <x:v>4</x:v>
      </x:c>
      <x:c r="I114" s="20" t="n">
        <x:v>19400</x:v>
      </x:c>
      <x:c r="J114" s="20" t="n">
        <x:v>77600</x:v>
      </x:c>
    </x:row>
    <x:row r="115">
      <x:c r="A115" s="17" t="str">
        <x:v>SO-10114</x:v>
      </x:c>
      <x:c r="B115" s="17" t="n">
        <x:v>46191</x:v>
      </x:c>
      <x:c r="C115" s="18" t="str">
        <x:v>North</x:v>
      </x:c>
      <x:c r="D115" s="18" t="str">
        <x:v>Office Supplies</x:v>
      </x:c>
      <x:c r="E115" s="18" t="str">
        <x:v>Home Office</x:v>
      </x:c>
      <x:c r="F115" s="18" t="str">
        <x:v>Printer</x:v>
      </x:c>
      <x:c r="G115" s="18" t="str">
        <x:v>Rahul</x:v>
      </x:c>
      <x:c r="H115" s="19" t="n">
        <x:v>6</x:v>
      </x:c>
      <x:c r="I115" s="20" t="n">
        <x:v>17600</x:v>
      </x:c>
      <x:c r="J115" s="20" t="n">
        <x:v>105600</x:v>
      </x:c>
    </x:row>
    <x:row r="116">
      <x:c r="A116" s="17" t="str">
        <x:v>SO-10115</x:v>
      </x:c>
      <x:c r="B116" s="17" t="n">
        <x:v>46228</x:v>
      </x:c>
      <x:c r="C116" s="18" t="str">
        <x:v>West</x:v>
      </x:c>
      <x:c r="D116" s="18" t="str">
        <x:v>Electronics</x:v>
      </x:c>
      <x:c r="E116" s="18" t="str">
        <x:v>Consumer</x:v>
      </x:c>
      <x:c r="F116" s="18" t="str">
        <x:v>Laptop</x:v>
      </x:c>
      <x:c r="G116" s="18" t="str">
        <x:v>Vikram</x:v>
      </x:c>
      <x:c r="H116" s="19" t="n">
        <x:v>12</x:v>
      </x:c>
      <x:c r="I116" s="20" t="n">
        <x:v>76000</x:v>
      </x:c>
      <x:c r="J116" s="20" t="n">
        <x:v>912000</x:v>
      </x:c>
    </x:row>
    <x:row r="117">
      <x:c r="A117" s="17" t="str">
        <x:v>SO-10116</x:v>
      </x:c>
      <x:c r="B117" s="17" t="n">
        <x:v>46241</x:v>
      </x:c>
      <x:c r="C117" s="18" t="str">
        <x:v>South</x:v>
      </x:c>
      <x:c r="D117" s="18" t="str">
        <x:v>Accessories</x:v>
      </x:c>
      <x:c r="E117" s="18" t="str">
        <x:v>Corporate</x:v>
      </x:c>
      <x:c r="F117" s="18" t="str">
        <x:v>Keyboard</x:v>
      </x:c>
      <x:c r="G117" s="18" t="str">
        <x:v>Neha</x:v>
      </x:c>
      <x:c r="H117" s="19" t="n">
        <x:v>11</x:v>
      </x:c>
      <x:c r="I117" s="20" t="n">
        <x:v>3200</x:v>
      </x:c>
      <x:c r="J117" s="20" t="n">
        <x:v>35200</x:v>
      </x:c>
    </x:row>
    <x:row r="118">
      <x:c r="A118" s="17" t="str">
        <x:v>SO-10117</x:v>
      </x:c>
      <x:c r="B118" s="17" t="n">
        <x:v>46279</x:v>
      </x:c>
      <x:c r="C118" s="18" t="str">
        <x:v>Central</x:v>
      </x:c>
      <x:c r="D118" s="18" t="str">
        <x:v>Electronics</x:v>
      </x:c>
      <x:c r="E118" s="18" t="str">
        <x:v>Home Office</x:v>
      </x:c>
      <x:c r="F118" s="18" t="str">
        <x:v>TV</x:v>
      </x:c>
      <x:c r="G118" s="18" t="str">
        <x:v>Aman</x:v>
      </x:c>
      <x:c r="H118" s="19" t="n">
        <x:v>7</x:v>
      </x:c>
      <x:c r="I118" s="20" t="n">
        <x:v>53300</x:v>
      </x:c>
      <x:c r="J118" s="20" t="n">
        <x:v>373100</x:v>
      </x:c>
    </x:row>
    <x:row r="119">
      <x:c r="A119" s="17" t="str">
        <x:v>SO-10118</x:v>
      </x:c>
      <x:c r="B119" s="17" t="n">
        <x:v>46316</x:v>
      </x:c>
      <x:c r="C119" s="18" t="str">
        <x:v>East</x:v>
      </x:c>
      <x:c r="D119" s="18" t="str">
        <x:v>Electronics</x:v>
      </x:c>
      <x:c r="E119" s="18" t="str">
        <x:v>Consumer</x:v>
      </x:c>
      <x:c r="F119" s="18" t="str">
        <x:v>Mobile</x:v>
      </x:c>
      <x:c r="G119" s="18" t="str">
        <x:v>Rohit</x:v>
      </x:c>
      <x:c r="H119" s="19" t="n">
        <x:v>10</x:v>
      </x:c>
      <x:c r="I119" s="20" t="n">
        <x:v>44100</x:v>
      </x:c>
      <x:c r="J119" s="20" t="n">
        <x:v>441000</x:v>
      </x:c>
    </x:row>
    <x:row r="120">
      <x:c r="A120" s="17" t="str">
        <x:v>SO-10119</x:v>
      </x:c>
      <x:c r="B120" s="17" t="n">
        <x:v>46329</x:v>
      </x:c>
      <x:c r="C120" s="18" t="str">
        <x:v>North</x:v>
      </x:c>
      <x:c r="D120" s="18" t="str">
        <x:v>Accessories</x:v>
      </x:c>
      <x:c r="E120" s="18" t="str">
        <x:v>Corporate</x:v>
      </x:c>
      <x:c r="F120" s="18" t="str">
        <x:v>Mouse</x:v>
      </x:c>
      <x:c r="G120" s="18" t="str">
        <x:v>Pooja</x:v>
      </x:c>
      <x:c r="H120" s="19" t="n">
        <x:v>4</x:v>
      </x:c>
      <x:c r="I120" s="20" t="n">
        <x:v>1900</x:v>
      </x:c>
      <x:c r="J120" s="20" t="n">
        <x:v>7600</x:v>
      </x:c>
    </x:row>
    <x:row r="121">
      <x:c r="A121" s="17" t="str">
        <x:v>SO-10120</x:v>
      </x:c>
      <x:c r="B121" s="17" t="n">
        <x:v>46366</x:v>
      </x:c>
      <x:c r="C121" s="18" t="str">
        <x:v>West</x:v>
      </x:c>
      <x:c r="D121" s="18" t="str">
        <x:v>Accessories</x:v>
      </x:c>
      <x:c r="E121" s="18" t="str">
        <x:v>Home Office</x:v>
      </x:c>
      <x:c r="F121" s="18" t="str">
        <x:v>Headphones</x:v>
      </x:c>
      <x:c r="G121" s="18" t="str">
        <x:v>Rahul</x:v>
      </x:c>
      <x:c r="H121" s="19" t="n">
        <x:v>8</x:v>
      </x:c>
      <x:c r="I121" s="20" t="n">
        <x:v>5700</x:v>
      </x:c>
      <x:c r="J121" s="20" t="n">
        <x:v>45600</x:v>
      </x:c>
    </x:row>
    <x:row r="122">
      <x:c r="A122" s="17" t="str">
        <x:v>SO-10121</x:v>
      </x:c>
      <x:c r="B122" s="17" t="n">
        <x:v>46039</x:v>
      </x:c>
      <x:c r="C122" s="18" t="str">
        <x:v>South</x:v>
      </x:c>
      <x:c r="D122" s="18" t="str">
        <x:v>Electronics</x:v>
      </x:c>
      <x:c r="E122" s="18" t="str">
        <x:v>Consumer</x:v>
      </x:c>
      <x:c r="F122" s="18" t="str">
        <x:v>Tablet</x:v>
      </x:c>
      <x:c r="G122" s="18" t="str">
        <x:v>Vikram</x:v>
      </x:c>
      <x:c r="H122" s="19" t="n">
        <x:v>10</x:v>
      </x:c>
      <x:c r="I122" s="20" t="n">
        <x:v>32300</x:v>
      </x:c>
      <x:c r="J122" s="20" t="n">
        <x:v>323000</x:v>
      </x:c>
    </x:row>
    <x:row r="123">
      <x:c r="A123" s="17" t="str">
        <x:v>SO-10122</x:v>
      </x:c>
      <x:c r="B123" s="17" t="n">
        <x:v>46077</x:v>
      </x:c>
      <x:c r="C123" s="18" t="str">
        <x:v>Central</x:v>
      </x:c>
      <x:c r="D123" s="18" t="str">
        <x:v>Furniture</x:v>
      </x:c>
      <x:c r="E123" s="18" t="str">
        <x:v>Corporate</x:v>
      </x:c>
      <x:c r="F123" s="18" t="str">
        <x:v>Office Chair</x:v>
      </x:c>
      <x:c r="G123" s="18" t="str">
        <x:v>Neha</x:v>
      </x:c>
      <x:c r="H123" s="19" t="n">
        <x:v>7</x:v>
      </x:c>
      <x:c r="I123" s="20" t="n">
        <x:v>16100</x:v>
      </x:c>
      <x:c r="J123" s="20" t="n">
        <x:v>112700</x:v>
      </x:c>
    </x:row>
    <x:row r="124">
      <x:c r="A124" s="17" t="str">
        <x:v>SO-10123</x:v>
      </x:c>
      <x:c r="B124" s="17" t="n">
        <x:v>46087</x:v>
      </x:c>
      <x:c r="C124" s="18" t="str">
        <x:v>East</x:v>
      </x:c>
      <x:c r="D124" s="18" t="str">
        <x:v>Electronics</x:v>
      </x:c>
      <x:c r="E124" s="18" t="str">
        <x:v>Home Office</x:v>
      </x:c>
      <x:c r="F124" s="18" t="str">
        <x:v>Monitor</x:v>
      </x:c>
      <x:c r="G124" s="18" t="str">
        <x:v>Aman</x:v>
      </x:c>
      <x:c r="H124" s="19" t="n">
        <x:v>8</x:v>
      </x:c>
      <x:c r="I124" s="20" t="n">
        <x:v>21000</x:v>
      </x:c>
      <x:c r="J124" s="20" t="n">
        <x:v>168000</x:v>
      </x:c>
    </x:row>
    <x:row r="125">
      <x:c r="A125" s="17" t="str">
        <x:v>SO-10124</x:v>
      </x:c>
      <x:c r="B125" s="17" t="n">
        <x:v>46125</x:v>
      </x:c>
      <x:c r="C125" s="18" t="str">
        <x:v>North</x:v>
      </x:c>
      <x:c r="D125" s="18" t="str">
        <x:v>Office Supplies</x:v>
      </x:c>
      <x:c r="E125" s="18" t="str">
        <x:v>Consumer</x:v>
      </x:c>
      <x:c r="F125" s="18" t="str">
        <x:v>Printer</x:v>
      </x:c>
      <x:c r="G125" s="18" t="str">
        <x:v>Rohit</x:v>
      </x:c>
      <x:c r="H125" s="19" t="n">
        <x:v>6</x:v>
      </x:c>
      <x:c r="I125" s="20" t="n">
        <x:v>19000</x:v>
      </x:c>
      <x:c r="J125" s="20" t="n">
        <x:v>114000</x:v>
      </x:c>
    </x:row>
    <x:row r="126">
      <x:c r="A126" s="17" t="str">
        <x:v>SO-10125</x:v>
      </x:c>
      <x:c r="B126" s="17" t="n">
        <x:v>46162</x:v>
      </x:c>
      <x:c r="C126" s="18" t="str">
        <x:v>West</x:v>
      </x:c>
      <x:c r="D126" s="18" t="str">
        <x:v>Electronics</x:v>
      </x:c>
      <x:c r="E126" s="18" t="str">
        <x:v>Corporate</x:v>
      </x:c>
      <x:c r="F126" s="18" t="str">
        <x:v>Laptop</x:v>
      </x:c>
      <x:c r="G126" s="18" t="str">
        <x:v>Pooja</x:v>
      </x:c>
      <x:c r="H126" s="19" t="n">
        <x:v>9</x:v>
      </x:c>
      <x:c r="I126" s="20" t="n">
        <x:v>81900</x:v>
      </x:c>
      <x:c r="J126" s="20" t="n">
        <x:v>737100</x:v>
      </x:c>
    </x:row>
    <x:row r="127">
      <x:c r="A127" s="17" t="str">
        <x:v>SO-10126</x:v>
      </x:c>
      <x:c r="B127" s="17" t="n">
        <x:v>46175</x:v>
      </x:c>
      <x:c r="C127" s="18" t="str">
        <x:v>South</x:v>
      </x:c>
      <x:c r="D127" s="18" t="str">
        <x:v>Accessories</x:v>
      </x:c>
      <x:c r="E127" s="18" t="str">
        <x:v>Home Office</x:v>
      </x:c>
      <x:c r="F127" s="18" t="str">
        <x:v>Keyboard</x:v>
      </x:c>
      <x:c r="G127" s="18" t="str">
        <x:v>Rahul</x:v>
      </x:c>
      <x:c r="H127" s="19" t="n">
        <x:v>4</x:v>
      </x:c>
      <x:c r="I127" s="20" t="n">
        <x:v>3400</x:v>
      </x:c>
      <x:c r="J127" s="20" t="n">
        <x:v>13600</x:v>
      </x:c>
    </x:row>
    <x:row r="128">
      <x:c r="A128" s="17" t="str">
        <x:v>SO-10127</x:v>
      </x:c>
      <x:c r="B128" s="17" t="n">
        <x:v>46212</x:v>
      </x:c>
      <x:c r="C128" s="18" t="str">
        <x:v>Central</x:v>
      </x:c>
      <x:c r="D128" s="18" t="str">
        <x:v>Electronics</x:v>
      </x:c>
      <x:c r="E128" s="18" t="str">
        <x:v>Consumer</x:v>
      </x:c>
      <x:c r="F128" s="18" t="str">
        <x:v>TV</x:v>
      </x:c>
      <x:c r="G128" s="18" t="str">
        <x:v>Vikram</x:v>
      </x:c>
      <x:c r="H128" s="19" t="n">
        <x:v>10</x:v>
      </x:c>
      <x:c r="I128" s="20" t="n">
        <x:v>48100</x:v>
      </x:c>
      <x:c r="J128" s="20" t="n">
        <x:v>481000</x:v>
      </x:c>
    </x:row>
    <x:row r="129">
      <x:c r="A129" s="17" t="str">
        <x:v>SO-10128</x:v>
      </x:c>
      <x:c r="B129" s="17" t="n">
        <x:v>46250</x:v>
      </x:c>
      <x:c r="C129" s="18" t="str">
        <x:v>East</x:v>
      </x:c>
      <x:c r="D129" s="18" t="str">
        <x:v>Electronics</x:v>
      </x:c>
      <x:c r="E129" s="18" t="str">
        <x:v>Corporate</x:v>
      </x:c>
      <x:c r="F129" s="18" t="str">
        <x:v>Mobile</x:v>
      </x:c>
      <x:c r="G129" s="18" t="str">
        <x:v>Neha</x:v>
      </x:c>
      <x:c r="H129" s="19" t="n">
        <x:v>12</x:v>
      </x:c>
      <x:c r="I129" s="20" t="n">
        <x:v>39900</x:v>
      </x:c>
      <x:c r="J129" s="20" t="n">
        <x:v>478800</x:v>
      </x:c>
    </x:row>
    <x:row r="130">
      <x:c r="A130" s="17" t="str">
        <x:v>SO-10129</x:v>
      </x:c>
      <x:c r="B130" s="17" t="n">
        <x:v>46288</x:v>
      </x:c>
      <x:c r="C130" s="18" t="str">
        <x:v>North</x:v>
      </x:c>
      <x:c r="D130" s="18" t="str">
        <x:v>Accessories</x:v>
      </x:c>
      <x:c r="E130" s="18" t="str">
        <x:v>Home Office</x:v>
      </x:c>
      <x:c r="F130" s="18" t="str">
        <x:v>Mouse</x:v>
      </x:c>
      <x:c r="G130" s="18" t="str">
        <x:v>Aman</x:v>
      </x:c>
      <x:c r="H130" s="19" t="n">
        <x:v>10</x:v>
      </x:c>
      <x:c r="I130" s="20" t="n">
        <x:v>1800</x:v>
      </x:c>
      <x:c r="J130" s="20" t="n">
        <x:v>18000</x:v>
      </x:c>
    </x:row>
    <x:row r="131">
      <x:c r="A131" s="17" t="str">
        <x:v>SO-10130</x:v>
      </x:c>
      <x:c r="B131" s="17" t="n">
        <x:v>46300</x:v>
      </x:c>
      <x:c r="C131" s="18" t="str">
        <x:v>West</x:v>
      </x:c>
      <x:c r="D131" s="18" t="str">
        <x:v>Accessories</x:v>
      </x:c>
      <x:c r="E131" s="18" t="str">
        <x:v>Consumer</x:v>
      </x:c>
      <x:c r="F131" s="18" t="str">
        <x:v>Headphones</x:v>
      </x:c>
      <x:c r="G131" s="18" t="str">
        <x:v>Rohit</x:v>
      </x:c>
      <x:c r="H131" s="19" t="n">
        <x:v>5</x:v>
      </x:c>
      <x:c r="I131" s="20" t="n">
        <x:v>6200</x:v>
      </x:c>
      <x:c r="J131" s="20" t="n">
        <x:v>31000</x:v>
      </x:c>
    </x:row>
    <x:row r="132">
      <x:c r="A132" s="17" t="str">
        <x:v>SO-10131</x:v>
      </x:c>
      <x:c r="B132" s="17" t="n">
        <x:v>46338</x:v>
      </x:c>
      <x:c r="C132" s="18" t="str">
        <x:v>South</x:v>
      </x:c>
      <x:c r="D132" s="18" t="str">
        <x:v>Electronics</x:v>
      </x:c>
      <x:c r="E132" s="18" t="str">
        <x:v>Corporate</x:v>
      </x:c>
      <x:c r="F132" s="18" t="str">
        <x:v>Tablet</x:v>
      </x:c>
      <x:c r="G132" s="18" t="str">
        <x:v>Pooja</x:v>
      </x:c>
      <x:c r="H132" s="19" t="n">
        <x:v>13</x:v>
      </x:c>
      <x:c r="I132" s="20" t="n">
        <x:v>34800</x:v>
      </x:c>
      <x:c r="J132" s="20" t="n">
        <x:v>452400</x:v>
      </x:c>
    </x:row>
    <x:row r="133">
      <x:c r="A133" s="17" t="str">
        <x:v>SO-10132</x:v>
      </x:c>
      <x:c r="B133" s="17" t="n">
        <x:v>46375</x:v>
      </x:c>
      <x:c r="C133" s="18" t="str">
        <x:v>Central</x:v>
      </x:c>
      <x:c r="D133" s="18" t="str">
        <x:v>Furniture</x:v>
      </x:c>
      <x:c r="E133" s="18" t="str">
        <x:v>Home Office</x:v>
      </x:c>
      <x:c r="F133" s="18" t="str">
        <x:v>Office Chair</x:v>
      </x:c>
      <x:c r="G133" s="18" t="str">
        <x:v>Rahul</x:v>
      </x:c>
      <x:c r="H133" s="19" t="n">
        <x:v>8</x:v>
      </x:c>
      <x:c r="I133" s="20" t="n">
        <x:v>17300</x:v>
      </x:c>
      <x:c r="J133" s="20" t="n">
        <x:v>138400</x:v>
      </x:c>
    </x:row>
    <x:row r="134">
      <x:c r="A134" s="17" t="str">
        <x:v>SO-10133</x:v>
      </x:c>
      <x:c r="B134" s="17" t="n">
        <x:v>46048</x:v>
      </x:c>
      <x:c r="C134" s="18" t="str">
        <x:v>East</x:v>
      </x:c>
      <x:c r="D134" s="18" t="str">
        <x:v>Electronics</x:v>
      </x:c>
      <x:c r="E134" s="18" t="str">
        <x:v>Consumer</x:v>
      </x:c>
      <x:c r="F134" s="18" t="str">
        <x:v>Monitor</x:v>
      </x:c>
      <x:c r="G134" s="18" t="str">
        <x:v>Vikram</x:v>
      </x:c>
      <x:c r="H134" s="19" t="n">
        <x:v>6</x:v>
      </x:c>
      <x:c r="I134" s="20" t="n">
        <x:v>22600</x:v>
      </x:c>
      <x:c r="J134" s="20" t="n">
        <x:v>135600</x:v>
      </x:c>
    </x:row>
    <x:row r="135">
      <x:c r="A135" s="17" t="str">
        <x:v>SO-10134</x:v>
      </x:c>
      <x:c r="B135" s="17" t="n">
        <x:v>46061</x:v>
      </x:c>
      <x:c r="C135" s="18" t="str">
        <x:v>North</x:v>
      </x:c>
      <x:c r="D135" s="18" t="str">
        <x:v>Office Supplies</x:v>
      </x:c>
      <x:c r="E135" s="18" t="str">
        <x:v>Corporate</x:v>
      </x:c>
      <x:c r="F135" s="18" t="str">
        <x:v>Printer</x:v>
      </x:c>
      <x:c r="G135" s="18" t="str">
        <x:v>Neha</x:v>
      </x:c>
      <x:c r="H135" s="19" t="n">
        <x:v>12</x:v>
      </x:c>
      <x:c r="I135" s="20" t="n">
        <x:v>17100</x:v>
      </x:c>
      <x:c r="J135" s="20" t="n">
        <x:v>205200</x:v>
      </x:c>
    </x:row>
    <x:row r="136">
      <x:c r="A136" s="17" t="str">
        <x:v>SO-10135</x:v>
      </x:c>
      <x:c r="B136" s="17" t="n">
        <x:v>46096</x:v>
      </x:c>
      <x:c r="C136" s="18" t="str">
        <x:v>West</x:v>
      </x:c>
      <x:c r="D136" s="18" t="str">
        <x:v>Electronics</x:v>
      </x:c>
      <x:c r="E136" s="18" t="str">
        <x:v>Home Office</x:v>
      </x:c>
      <x:c r="F136" s="18" t="str">
        <x:v>Laptop</x:v>
      </x:c>
      <x:c r="G136" s="18" t="str">
        <x:v>Aman</x:v>
      </x:c>
      <x:c r="H136" s="19" t="n">
        <x:v>6</x:v>
      </x:c>
      <x:c r="I136" s="20" t="n">
        <x:v>74100</x:v>
      </x:c>
      <x:c r="J136" s="20" t="n">
        <x:v>444600</x:v>
      </x:c>
    </x:row>
    <x:row r="137">
      <x:c r="A137" s="17" t="str">
        <x:v>SO-10136</x:v>
      </x:c>
      <x:c r="B137" s="17" t="n">
        <x:v>46134</x:v>
      </x:c>
      <x:c r="C137" s="18" t="str">
        <x:v>South</x:v>
      </x:c>
      <x:c r="D137" s="18" t="str">
        <x:v>Accessories</x:v>
      </x:c>
      <x:c r="E137" s="18" t="str">
        <x:v>Consumer</x:v>
      </x:c>
      <x:c r="F137" s="18" t="str">
        <x:v>Keyboard</x:v>
      </x:c>
      <x:c r="G137" s="18" t="str">
        <x:v>Rohit</x:v>
      </x:c>
      <x:c r="H137" s="19" t="n">
        <x:v>13</x:v>
      </x:c>
      <x:c r="I137" s="20" t="n">
        <x:v>3100</x:v>
      </x:c>
      <x:c r="J137" s="20" t="n">
        <x:v>40300</x:v>
      </x:c>
    </x:row>
    <x:row r="138">
      <x:c r="A138" s="17" t="str">
        <x:v>SO-10137</x:v>
      </x:c>
      <x:c r="B138" s="17" t="n">
        <x:v>46146</x:v>
      </x:c>
      <x:c r="C138" s="18" t="str">
        <x:v>Central</x:v>
      </x:c>
      <x:c r="D138" s="18" t="str">
        <x:v>Electronics</x:v>
      </x:c>
      <x:c r="E138" s="18" t="str">
        <x:v>Corporate</x:v>
      </x:c>
      <x:c r="F138" s="18" t="str">
        <x:v>TV</x:v>
      </x:c>
      <x:c r="G138" s="18" t="str">
        <x:v>Pooja</x:v>
      </x:c>
      <x:c r="H138" s="19" t="n">
        <x:v>12</x:v>
      </x:c>
      <x:c r="I138" s="20" t="n">
        <x:v>52000</x:v>
      </x:c>
      <x:c r="J138" s="20" t="n">
        <x:v>624000</x:v>
      </x:c>
    </x:row>
    <x:row r="139">
      <x:c r="A139" s="17" t="str">
        <x:v>SO-10138</x:v>
      </x:c>
      <x:c r="B139" s="17" t="n">
        <x:v>46184</x:v>
      </x:c>
      <x:c r="C139" s="18" t="str">
        <x:v>East</x:v>
      </x:c>
      <x:c r="D139" s="18" t="str">
        <x:v>Electronics</x:v>
      </x:c>
      <x:c r="E139" s="18" t="str">
        <x:v>Home Office</x:v>
      </x:c>
      <x:c r="F139" s="18" t="str">
        <x:v>Mobile</x:v>
      </x:c>
      <x:c r="G139" s="18" t="str">
        <x:v>Rahul</x:v>
      </x:c>
      <x:c r="H139" s="19" t="n">
        <x:v>10</x:v>
      </x:c>
      <x:c r="I139" s="20" t="n">
        <x:v>43000</x:v>
      </x:c>
      <x:c r="J139" s="20" t="n">
        <x:v>430000</x:v>
      </x:c>
    </x:row>
    <x:row r="140">
      <x:c r="A140" s="17" t="str">
        <x:v>SO-10139</x:v>
      </x:c>
      <x:c r="B140" s="17" t="n">
        <x:v>46221</x:v>
      </x:c>
      <x:c r="C140" s="18" t="str">
        <x:v>North</x:v>
      </x:c>
      <x:c r="D140" s="18" t="str">
        <x:v>Accessories</x:v>
      </x:c>
      <x:c r="E140" s="18" t="str">
        <x:v>Consumer</x:v>
      </x:c>
      <x:c r="F140" s="18" t="str">
        <x:v>Mouse</x:v>
      </x:c>
      <x:c r="G140" s="18" t="str">
        <x:v>Vikram</x:v>
      </x:c>
      <x:c r="H140" s="19" t="n">
        <x:v>9</x:v>
      </x:c>
      <x:c r="I140" s="20" t="n">
        <x:v>1900</x:v>
      </x:c>
      <x:c r="J140" s="20" t="n">
        <x:v>17100</x:v>
      </x:c>
    </x:row>
    <x:row r="141">
      <x:c r="A141" s="17" t="str">
        <x:v>SO-10140</x:v>
      </x:c>
      <x:c r="B141" s="17" t="n">
        <x:v>46259</x:v>
      </x:c>
      <x:c r="C141" s="18" t="str">
        <x:v>West</x:v>
      </x:c>
      <x:c r="D141" s="18" t="str">
        <x:v>Accessories</x:v>
      </x:c>
      <x:c r="E141" s="18" t="str">
        <x:v>Corporate</x:v>
      </x:c>
      <x:c r="F141" s="18" t="str">
        <x:v>Headphones</x:v>
      </x:c>
      <x:c r="G141" s="18" t="str">
        <x:v>Neha</x:v>
      </x:c>
      <x:c r="H141" s="19" t="n">
        <x:v>15</x:v>
      </x:c>
      <x:c r="I141" s="20" t="n">
        <x:v>6700</x:v>
      </x:c>
      <x:c r="J141" s="20" t="n">
        <x:v>100500</x:v>
      </x:c>
    </x:row>
    <x:row r="142">
      <x:c r="A142" s="17" t="str">
        <x:v>SO-10141</x:v>
      </x:c>
      <x:c r="B142" s="17" t="n">
        <x:v>46272</x:v>
      </x:c>
      <x:c r="C142" s="18" t="str">
        <x:v>South</x:v>
      </x:c>
      <x:c r="D142" s="18" t="str">
        <x:v>Electronics</x:v>
      </x:c>
      <x:c r="E142" s="18" t="str">
        <x:v>Home Office</x:v>
      </x:c>
      <x:c r="F142" s="18" t="str">
        <x:v>Tablet</x:v>
      </x:c>
      <x:c r="G142" s="18" t="str">
        <x:v>Aman</x:v>
      </x:c>
      <x:c r="H142" s="19" t="n">
        <x:v>8</x:v>
      </x:c>
      <x:c r="I142" s="20" t="n">
        <x:v>31400</x:v>
      </x:c>
      <x:c r="J142" s="20" t="n">
        <x:v>251200</x:v>
      </x:c>
    </x:row>
    <x:row r="143">
      <x:c r="A143" s="17" t="str">
        <x:v>SO-10142</x:v>
      </x:c>
      <x:c r="B143" s="17" t="n">
        <x:v>46309</x:v>
      </x:c>
      <x:c r="C143" s="18" t="str">
        <x:v>Central</x:v>
      </x:c>
      <x:c r="D143" s="18" t="str">
        <x:v>Furniture</x:v>
      </x:c>
      <x:c r="E143" s="18" t="str">
        <x:v>Consumer</x:v>
      </x:c>
      <x:c r="F143" s="18" t="str">
        <x:v>Office Chair</x:v>
      </x:c>
      <x:c r="G143" s="18" t="str">
        <x:v>Rohit</x:v>
      </x:c>
      <x:c r="H143" s="19" t="n">
        <x:v>14</x:v>
      </x:c>
      <x:c r="I143" s="20" t="n">
        <x:v>15700</x:v>
      </x:c>
      <x:c r="J143" s="20" t="n">
        <x:v>219800</x:v>
      </x:c>
    </x:row>
    <x:row r="144">
      <x:c r="A144" s="17" t="str">
        <x:v>SO-10143</x:v>
      </x:c>
      <x:c r="B144" s="17" t="n">
        <x:v>46347</x:v>
      </x:c>
      <x:c r="C144" s="18" t="str">
        <x:v>East</x:v>
      </x:c>
      <x:c r="D144" s="18" t="str">
        <x:v>Electronics</x:v>
      </x:c>
      <x:c r="E144" s="18" t="str">
        <x:v>Corporate</x:v>
      </x:c>
      <x:c r="F144" s="18" t="str">
        <x:v>Monitor</x:v>
      </x:c>
      <x:c r="G144" s="18" t="str">
        <x:v>Pooja</x:v>
      </x:c>
      <x:c r="H144" s="19" t="n">
        <x:v>13</x:v>
      </x:c>
      <x:c r="I144" s="20" t="n">
        <x:v>20500</x:v>
      </x:c>
      <x:c r="J144" s="20" t="n">
        <x:v>266500</x:v>
      </x:c>
    </x:row>
    <x:row r="145">
      <x:c r="A145" s="17" t="str">
        <x:v>SO-10144</x:v>
      </x:c>
      <x:c r="B145" s="17" t="n">
        <x:v>46359</x:v>
      </x:c>
      <x:c r="C145" s="18" t="str">
        <x:v>North</x:v>
      </x:c>
      <x:c r="D145" s="18" t="str">
        <x:v>Office Supplies</x:v>
      </x:c>
      <x:c r="E145" s="18" t="str">
        <x:v>Home Office</x:v>
      </x:c>
      <x:c r="F145" s="18" t="str">
        <x:v>Printer</x:v>
      </x:c>
      <x:c r="G145" s="18" t="str">
        <x:v>Rahul</x:v>
      </x:c>
      <x:c r="H145" s="19" t="n">
        <x:v>8</x:v>
      </x:c>
      <x:c r="I145" s="20" t="n">
        <x:v>18500</x:v>
      </x:c>
      <x:c r="J145" s="20" t="n">
        <x:v>148000</x:v>
      </x:c>
    </x:row>
  </x:sheetData>
  <x:pageMargins left="0.7" right="0.7" top="0.75" bottom="0.75" header="0.3" footer="0.3"/>
  <x:tableParts count="1">
    <x:tablePart xmlns:r="http://schemas.openxmlformats.org/officeDocument/2006/relationships" r:id="R1ed805ac7c1b46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4" max="4" width="18" hidden="0" customWidth="1"/>
    <x:col min="7" max="7" width="18" hidden="0" customWidth="1"/>
    <x:col min="10" max="10" width="18" hidden="0" customWidth="1"/>
    <x:col min="13" max="13" width="18" hidden="0" customWidth="1"/>
    <x:col min="16" max="16" width="18" hidden="0" customWidth="1"/>
    <x:col min="19" max="19" width="18" hidden="0" customWidth="1"/>
    <x:col min="2" max="2" width="16" hidden="0" customWidth="1"/>
    <x:col min="5" max="5" width="16" hidden="0" customWidth="1"/>
    <x:col min="8" max="8" width="16" hidden="0" customWidth="1"/>
    <x:col min="11" max="11" width="16" hidden="0" customWidth="1"/>
    <x:col min="14" max="14" width="16" hidden="0" customWidth="1"/>
    <x:col min="17" max="17" width="16" hidden="0" customWidth="1"/>
    <x:col min="20" max="20" width="16" hidden="0" customWidth="1"/>
  </x:cols>
  <x:sheetData>
    <x:row r="1">
      <x:c r="A1" s="29" t="str">
        <x:v>Region</x:v>
      </x:c>
      <x:c r="B1" s="29" t="str">
        <x:v>Revenue (Lakhs)</x:v>
      </x:c>
      <x:c r="C1" s="29"/>
      <x:c r="D1" s="29" t="str">
        <x:v>Category</x:v>
      </x:c>
      <x:c r="E1" s="29" t="str">
        <x:v>Revenue (Lakhs)</x:v>
      </x:c>
      <x:c r="F1" s="29"/>
      <x:c r="G1" s="29" t="str">
        <x:v>Segment</x:v>
      </x:c>
      <x:c r="H1" s="29" t="str">
        <x:v>Revenue (Lakhs)</x:v>
      </x:c>
      <x:c r="I1" s="29"/>
      <x:c r="J1" s="29" t="str">
        <x:v>Product</x:v>
      </x:c>
      <x:c r="K1" s="29" t="str">
        <x:v>Revenue (Lakhs)</x:v>
      </x:c>
      <x:c r="L1" s="29"/>
      <x:c r="M1" s="29" t="str">
        <x:v>Sales Rep</x:v>
      </x:c>
      <x:c r="N1" s="29" t="str">
        <x:v>Revenue (Lakhs)</x:v>
      </x:c>
      <x:c r="O1" s="29"/>
      <x:c r="P1" s="29" t="str">
        <x:v>Month</x:v>
      </x:c>
      <x:c r="Q1" s="29" t="str">
        <x:v>Revenue (Lakhs)</x:v>
      </x:c>
      <x:c r="R1" s="29"/>
      <x:c r="S1" s="3" t="str">
        <x:v>Metric</x:v>
      </x:c>
      <x:c r="T1" s="3" t="str">
        <x:v>Value</x:v>
      </x:c>
    </x:row>
    <x:row r="2">
      <x:c r="A2" t="str">
        <x:v>North</x:v>
      </x:c>
      <x:c r="B2" s="26" t="n">
        <x:f>SUMIFS(Data!$J$2:$J$145,Data!$C$2:$C$145,A2)/100000</x:f>
        <x:v>28.749</x:v>
      </x:c>
      <x:c r="C2" s="26"/>
      <x:c r="D2" s="26" t="str">
        <x:v>Electronics</x:v>
      </x:c>
      <x:c r="E2" s="26" t="n">
        <x:f>SUMIFS(Data!$J$2:$J$145,Data!$D$2:$D$145,D2)/100000</x:f>
        <x:v>271.465</x:v>
      </x:c>
      <x:c r="F2" s="26"/>
      <x:c r="G2" s="26" t="str">
        <x:v>Corporate</x:v>
      </x:c>
      <x:c r="H2" s="26" t="n">
        <x:f>SUMIFS(Data!$J$2:$J$145,Data!$E$2:$E$145,G2)/100000</x:f>
        <x:v>121.882</x:v>
      </x:c>
      <x:c r="I2" s="26"/>
      <x:c r="J2" s="26" t="str">
        <x:v>Laptop</x:v>
      </x:c>
      <x:c r="K2" s="26" t="n">
        <x:f>SUMIFS(Data!$J$2:$J$145,Data!$F$2:$F$145,J2)/100000</x:f>
        <x:v>92.609</x:v>
      </x:c>
      <x:c r="L2" s="26"/>
      <x:c r="M2" s="26" t="str">
        <x:v>Aman</x:v>
      </x:c>
      <x:c r="N2" s="26" t="n">
        <x:f>SUMIFS(Data!$J$2:$J$145,Data!$G$2:$G$145,M2)/100000</x:f>
        <x:v>65.247</x:v>
      </x:c>
      <x:c r="O2" s="26"/>
      <x:c r="P2" s="26" t="str">
        <x:v>Jan</x:v>
      </x:c>
      <x:c r="Q2" s="26" t="n">
        <x:f>SUMIFS(Data!$J$2:$J$145,Data!$B$2:$B$145,"&gt;="&amp;DATE(2026,1,1),Data!$B$2:$B$145,"&lt;"&amp;DATE(2026,2,1))/100000</x:f>
        <x:v>42.02</x:v>
      </x:c>
      <x:c r="S2" s="35" t="str">
        <x:v>Total Revenue (INR)</x:v>
      </x:c>
      <x:c r="T2" s="36" t="n">
        <x:f>SUM(Data!$J$2:$J$145)</x:f>
        <x:v>33132500</x:v>
      </x:c>
    </x:row>
    <x:row r="3">
      <x:c r="A3" t="str">
        <x:v>South</x:v>
      </x:c>
      <x:c r="B3" s="26" t="n">
        <x:f>SUMIFS(Data!$J$2:$J$145,Data!$C$2:$C$145,A3)/100000</x:f>
        <x:v>44.554</x:v>
      </x:c>
      <x:c r="C3" s="26"/>
      <x:c r="D3" s="26" t="str">
        <x:v>Furniture</x:v>
      </x:c>
      <x:c r="E3" s="26" t="n">
        <x:f>SUMIFS(Data!$J$2:$J$145,Data!$D$2:$D$145,D3)/100000</x:f>
        <x:v>19.358</x:v>
      </x:c>
      <x:c r="F3" s="26"/>
      <x:c r="G3" s="26" t="str">
        <x:v>Consumer</x:v>
      </x:c>
      <x:c r="H3" s="26" t="n">
        <x:f>SUMIFS(Data!$J$2:$J$145,Data!$E$2:$E$145,G3)/100000</x:f>
        <x:v>107.646</x:v>
      </x:c>
      <x:c r="I3" s="26"/>
      <x:c r="J3" s="26" t="str">
        <x:v>Mobile</x:v>
      </x:c>
      <x:c r="K3" s="26" t="n">
        <x:f>SUMIFS(Data!$J$2:$J$145,Data!$F$2:$F$145,J3)/100000</x:f>
        <x:v>51.49</x:v>
      </x:c>
      <x:c r="L3" s="26"/>
      <x:c r="M3" s="26" t="str">
        <x:v>Neha</x:v>
      </x:c>
      <x:c r="N3" s="26" t="n">
        <x:f>SUMIFS(Data!$J$2:$J$145,Data!$G$2:$G$145,M3)/100000</x:f>
        <x:v>39.053</x:v>
      </x:c>
      <x:c r="O3" s="26"/>
      <x:c r="P3" s="26" t="str">
        <x:v>Feb</x:v>
      </x:c>
      <x:c r="Q3" s="26" t="n">
        <x:f>SUMIFS(Data!$J$2:$J$145,Data!$B$2:$B$145,"&gt;="&amp;DATE(2026,2,1),Data!$B$2:$B$145,"&lt;"&amp;DATE(2026,3,1))/100000</x:f>
        <x:v>18.402</x:v>
      </x:c>
      <x:c r="S3" s="35" t="str">
        <x:v>Units Sold</x:v>
      </x:c>
      <x:c r="T3" s="36" t="n">
        <x:f>SUM(Data!$H$2:$H$145)</x:f>
        <x:v>1227</x:v>
      </x:c>
    </x:row>
    <x:row r="4">
      <x:c r="A4" t="str">
        <x:v>East</x:v>
      </x:c>
      <x:c r="B4" s="26" t="n">
        <x:f>SUMIFS(Data!$J$2:$J$145,Data!$C$2:$C$145,A4)/100000</x:f>
        <x:v>76.697</x:v>
      </x:c>
      <x:c r="C4" s="26"/>
      <x:c r="D4" s="26" t="str">
        <x:v>Office Supplies</x:v>
      </x:c>
      <x:c r="E4" s="26" t="n">
        <x:f>SUMIFS(Data!$J$2:$J$145,Data!$D$2:$D$145,D4)/100000</x:f>
        <x:v>26.583</x:v>
      </x:c>
      <x:c r="F4" s="26"/>
      <x:c r="G4" s="26" t="str">
        <x:v>Home Office</x:v>
      </x:c>
      <x:c r="H4" s="26" t="n">
        <x:f>SUMIFS(Data!$J$2:$J$145,Data!$E$2:$E$145,G4)/100000</x:f>
        <x:v>101.797</x:v>
      </x:c>
      <x:c r="I4" s="26"/>
      <x:c r="J4" s="26" t="str">
        <x:v>Tablet</x:v>
      </x:c>
      <x:c r="K4" s="26" t="n">
        <x:f>SUMIFS(Data!$J$2:$J$145,Data!$F$2:$F$145,J4)/100000</x:f>
        <x:v>40.916</x:v>
      </x:c>
      <x:c r="L4" s="26"/>
      <x:c r="M4" s="26" t="str">
        <x:v>Vikram</x:v>
      </x:c>
      <x:c r="N4" s="26" t="n">
        <x:f>SUMIFS(Data!$J$2:$J$145,Data!$G$2:$G$145,M4)/100000</x:f>
        <x:v>74.065</x:v>
      </x:c>
      <x:c r="O4" s="26"/>
      <x:c r="P4" s="26" t="str">
        <x:v>Mar</x:v>
      </x:c>
      <x:c r="Q4" s="26" t="n">
        <x:f>SUMIFS(Data!$J$2:$J$145,Data!$B$2:$B$145,"&gt;="&amp;DATE(2026,3,1),Data!$B$2:$B$145,"&lt;"&amp;DATE(2026,4,1))/100000</x:f>
        <x:v>40.558</x:v>
      </x:c>
      <x:c r="S4" s="35" t="str">
        <x:v>Avg Order Value (INR)</x:v>
      </x:c>
      <x:c r="T4" s="36" t="n">
        <x:f>T2/COUNTA(Data!$A$2:$A$145)</x:f>
        <x:v>230086.80555555556</x:v>
      </x:c>
    </x:row>
    <x:row r="5">
      <x:c r="A5" t="str">
        <x:v>West</x:v>
      </x:c>
      <x:c r="B5" s="26" t="n">
        <x:f>SUMIFS(Data!$J$2:$J$145,Data!$C$2:$C$145,A5)/100000</x:f>
        <x:v>100.724</x:v>
      </x:c>
      <x:c r="C5" s="26"/>
      <x:c r="D5" s="26" t="str">
        <x:v>Accessories</x:v>
      </x:c>
      <x:c r="E5" s="26" t="n">
        <x:f>SUMIFS(Data!$J$2:$J$145,Data!$D$2:$D$145,D5)/100000</x:f>
        <x:v>13.919</x:v>
      </x:c>
      <x:c r="F5" s="26"/>
      <x:c r="G5" s="26" t="str">
        <x:v>Total</x:v>
      </x:c>
      <x:c r="H5" s="26" t="n">
        <x:f>SUM(H2:H4)</x:f>
        <x:v>331.32500000000005</x:v>
      </x:c>
      <x:c r="I5" s="26"/>
      <x:c r="J5" s="26" t="str">
        <x:v>Printer</x:v>
      </x:c>
      <x:c r="K5" s="26" t="n">
        <x:f>SUMIFS(Data!$J$2:$J$145,Data!$F$2:$F$145,J5)/100000</x:f>
        <x:v>26.583</x:v>
      </x:c>
      <x:c r="L5" s="26"/>
      <x:c r="M5" s="26" t="str">
        <x:v>Rahul</x:v>
      </x:c>
      <x:c r="N5" s="26" t="n">
        <x:f>SUMIFS(Data!$J$2:$J$145,Data!$G$2:$G$145,M5)/100000</x:f>
        <x:v>36.55</x:v>
      </x:c>
      <x:c r="O5" s="26"/>
      <x:c r="P5" s="26" t="str">
        <x:v>Apr</x:v>
      </x:c>
      <x:c r="Q5" s="26" t="n">
        <x:f>SUMIFS(Data!$J$2:$J$145,Data!$B$2:$B$145,"&gt;="&amp;DATE(2026,4,1),Data!$B$2:$B$145,"&lt;"&amp;DATE(2026,5,1))/100000</x:f>
        <x:v>15.009</x:v>
      </x:c>
      <x:c r="S5" s="35" t="str">
        <x:v>Top Sales Rep</x:v>
      </x:c>
      <x:c r="T5" s="35" t="str">
        <x:f>N8</x:f>
        <x:v>Pooja</x:v>
      </x:c>
    </x:row>
    <x:row r="6">
      <x:c r="A6" t="str">
        <x:v>Central</x:v>
      </x:c>
      <x:c r="B6" s="26" t="n">
        <x:f>SUMIFS(Data!$J$2:$J$145,Data!$C$2:$C$145,A6)/100000</x:f>
        <x:v>80.601</x:v>
      </x:c>
      <x:c r="C6" s="26"/>
      <x:c r="D6" s="26" t="str">
        <x:v>Total</x:v>
      </x:c>
      <x:c r="E6" s="26" t="n">
        <x:f>SUM(E2:E5)</x:f>
        <x:v>331.32499999999993</x:v>
      </x:c>
      <x:c r="F6" s="26"/>
      <x:c r="G6" s="26"/>
      <x:c r="H6" s="26"/>
      <x:c r="I6" s="26"/>
      <x:c r="J6" s="26" t="str">
        <x:v>TV</x:v>
      </x:c>
      <x:c r="K6" s="26" t="n">
        <x:f>SUMIFS(Data!$J$2:$J$145,Data!$F$2:$F$145,J6)/100000</x:f>
        <x:v>61.243</x:v>
      </x:c>
      <x:c r="L6" s="26"/>
      <x:c r="M6" s="26" t="str">
        <x:v>Pooja</x:v>
      </x:c>
      <x:c r="N6" s="26" t="n">
        <x:f>SUMIFS(Data!$J$2:$J$145,Data!$G$2:$G$145,M6)/100000</x:f>
        <x:v>82.829</x:v>
      </x:c>
      <x:c r="O6" s="26"/>
      <x:c r="P6" s="26" t="str">
        <x:v>May</x:v>
      </x:c>
      <x:c r="Q6" s="26" t="n">
        <x:f>SUMIFS(Data!$J$2:$J$145,Data!$B$2:$B$145,"&gt;="&amp;DATE(2026,5,1),Data!$B$2:$B$145,"&lt;"&amp;DATE(2026,6,1))/100000</x:f>
        <x:v>40.893</x:v>
      </x:c>
    </x:row>
    <x:row r="7">
      <x:c r="A7" t="str">
        <x:v>Total</x:v>
      </x:c>
      <x:c r="B7" s="26" t="n">
        <x:f>SUM(B2:B6)</x:f>
        <x:v>331.325</x:v>
      </x:c>
      <x:c r="C7" s="26"/>
      <x:c r="D7" s="26"/>
      <x:c r="E7" s="26"/>
      <x:c r="F7" s="26"/>
      <x:c r="G7" s="26"/>
      <x:c r="H7" s="26"/>
      <x:c r="I7" s="26"/>
      <x:c r="J7" s="26" t="str">
        <x:v>Headphones</x:v>
      </x:c>
      <x:c r="K7" s="26" t="n">
        <x:f>SUMIFS(Data!$J$2:$J$145,Data!$F$2:$F$145,J7)/100000</x:f>
        <x:v>8.115</x:v>
      </x:c>
      <x:c r="L7" s="26"/>
      <x:c r="M7" s="26" t="str">
        <x:v>Rohit</x:v>
      </x:c>
      <x:c r="N7" s="26" t="n">
        <x:f>SUMIFS(Data!$J$2:$J$145,Data!$G$2:$G$145,M7)/100000</x:f>
        <x:v>33.581</x:v>
      </x:c>
      <x:c r="O7" s="26"/>
      <x:c r="P7" s="26" t="str">
        <x:v>Jun</x:v>
      </x:c>
      <x:c r="Q7" s="26" t="n">
        <x:f>SUMIFS(Data!$J$2:$J$145,Data!$B$2:$B$145,"&gt;="&amp;DATE(2026,6,1),Data!$B$2:$B$145,"&lt;"&amp;DATE(2026,7,1))/100000</x:f>
        <x:v>18.596</x:v>
      </x:c>
    </x:row>
    <x:row r="8">
      <x:c r="B8" s="26"/>
      <x:c r="C8" s="26"/>
      <x:c r="D8" s="26"/>
      <x:c r="E8" s="26"/>
      <x:c r="F8" s="26"/>
      <x:c r="G8" s="26"/>
      <x:c r="H8" s="26"/>
      <x:c r="I8" s="26"/>
      <x:c r="J8" s="26" t="str">
        <x:v>Monitor</x:v>
      </x:c>
      <x:c r="K8" s="26" t="n">
        <x:f>SUMIFS(Data!$J$2:$J$145,Data!$F$2:$F$145,J8)/100000</x:f>
        <x:v>25.207</x:v>
      </x:c>
      <x:c r="L8" s="26"/>
      <x:c r="M8" s="26" t="str">
        <x:v>Top Rep</x:v>
      </x:c>
      <x:c r="N8" s="26" t="str">
        <x:f>INDEX(M2:M7,MATCH(MAX(N2:N7),N2:N7,0))</x:f>
        <x:v>Pooja</x:v>
      </x:c>
      <x:c r="O8" s="26"/>
      <x:c r="P8" s="26" t="str">
        <x:v>Jul</x:v>
      </x:c>
      <x:c r="Q8" s="26" t="n">
        <x:f>SUMIFS(Data!$J$2:$J$145,Data!$B$2:$B$145,"&gt;="&amp;DATE(2026,7,1),Data!$B$2:$B$145,"&lt;"&amp;DATE(2026,8,1))/100000</x:f>
        <x:v>32.045</x:v>
      </x:c>
    </x:row>
    <x:row r="9">
      <x:c r="B9" s="26"/>
      <x:c r="C9" s="26"/>
      <x:c r="D9" s="26"/>
      <x:c r="E9" s="26"/>
      <x:c r="F9" s="26"/>
      <x:c r="G9" s="26"/>
      <x:c r="H9" s="26"/>
      <x:c r="I9" s="26"/>
      <x:c r="J9" s="26" t="str">
        <x:v>Keyboard</x:v>
      </x:c>
      <x:c r="K9" s="26" t="n">
        <x:f>SUMIFS(Data!$J$2:$J$145,Data!$F$2:$F$145,J9)/100000</x:f>
        <x:v>3.638</x:v>
      </x:c>
      <x:c r="L9" s="26"/>
      <x:c r="M9" s="26"/>
      <x:c r="N9" s="26"/>
      <x:c r="O9" s="26"/>
      <x:c r="P9" s="26" t="str">
        <x:v>Aug</x:v>
      </x:c>
      <x:c r="Q9" s="26" t="n">
        <x:f>SUMIFS(Data!$J$2:$J$145,Data!$B$2:$B$145,"&gt;="&amp;DATE(2026,8,1),Data!$B$2:$B$145,"&lt;"&amp;DATE(2026,9,1))/100000</x:f>
        <x:v>20.651</x:v>
      </x:c>
    </x:row>
    <x:row r="10">
      <x:c r="B10" s="26"/>
      <x:c r="C10" s="26"/>
      <x:c r="D10" s="26"/>
      <x:c r="E10" s="26"/>
      <x:c r="F10" s="26"/>
      <x:c r="G10" s="26"/>
      <x:c r="H10" s="26"/>
      <x:c r="I10" s="26"/>
      <x:c r="J10" s="26" t="str">
        <x:v>Mouse</x:v>
      </x:c>
      <x:c r="K10" s="26" t="n">
        <x:f>SUMIFS(Data!$J$2:$J$145,Data!$F$2:$F$145,J10)/100000</x:f>
        <x:v>2.166</x:v>
      </x:c>
      <x:c r="L10" s="26"/>
      <x:c r="M10" s="26"/>
      <x:c r="N10" s="26"/>
      <x:c r="O10" s="26"/>
      <x:c r="P10" s="26" t="str">
        <x:v>Sep</x:v>
      </x:c>
      <x:c r="Q10" s="26" t="n">
        <x:f>SUMIFS(Data!$J$2:$J$145,Data!$B$2:$B$145,"&gt;="&amp;DATE(2026,9,1),Data!$B$2:$B$145,"&lt;"&amp;DATE(2026,10,1))/100000</x:f>
        <x:v>24.689</x:v>
      </x:c>
    </x:row>
    <x:row r="11">
      <x:c r="B11" s="26"/>
      <x:c r="C11" s="26"/>
      <x:c r="D11" s="26"/>
      <x:c r="E11" s="26"/>
      <x:c r="F11" s="26"/>
      <x:c r="G11" s="26"/>
      <x:c r="H11" s="26"/>
      <x:c r="I11" s="26"/>
      <x:c r="J11" s="26" t="str">
        <x:v>Office Chair</x:v>
      </x:c>
      <x:c r="K11" s="26" t="n">
        <x:f>SUMIFS(Data!$J$2:$J$145,Data!$F$2:$F$145,J11)/100000</x:f>
        <x:v>19.358</x:v>
      </x:c>
      <x:c r="L11" s="26"/>
      <x:c r="M11" s="26"/>
      <x:c r="N11" s="26"/>
      <x:c r="O11" s="26"/>
      <x:c r="P11" s="26" t="str">
        <x:v>Oct</x:v>
      </x:c>
      <x:c r="Q11" s="26" t="n">
        <x:f>SUMIFS(Data!$J$2:$J$145,Data!$B$2:$B$145,"&gt;="&amp;DATE(2026,10,1),Data!$B$2:$B$145,"&lt;"&amp;DATE(2026,11,1))/100000</x:f>
        <x:v>18.572</x:v>
      </x:c>
    </x:row>
    <x:row r="12">
      <x:c r="B12" s="26"/>
      <x:c r="C12" s="26"/>
      <x:c r="D12" s="26"/>
      <x:c r="E12" s="26"/>
      <x:c r="F12" s="26"/>
      <x:c r="G12" s="26"/>
      <x:c r="H12" s="26"/>
      <x:c r="I12" s="26"/>
      <x:c r="J12" s="26" t="str">
        <x:v>Total</x:v>
      </x:c>
      <x:c r="K12" s="26" t="n">
        <x:f>SUM(K2:K11)</x:f>
        <x:v>331.325</x:v>
      </x:c>
      <x:c r="L12" s="26"/>
      <x:c r="M12" s="26"/>
      <x:c r="N12" s="26"/>
      <x:c r="O12" s="26"/>
      <x:c r="P12" s="26" t="str">
        <x:v>Nov</x:v>
      </x:c>
      <x:c r="Q12" s="26" t="n">
        <x:f>SUMIFS(Data!$J$2:$J$145,Data!$B$2:$B$145,"&gt;="&amp;DATE(2026,11,1),Data!$B$2:$B$145,"&lt;"&amp;DATE(2026,12,1))/100000</x:f>
        <x:v>41.936</x:v>
      </x:c>
    </x:row>
    <x:row r="13"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 t="str">
        <x:v>Dec</x:v>
      </x:c>
      <x:c r="Q13" s="26" t="n">
        <x:f>SUMIFS(Data!$J$2:$J$145,Data!$B$2:$B$145,"&gt;="&amp;DATE(2026,12,1),Data!$B$2:$B$145,"&lt;"&amp;DATE(2027,1,1))/100000</x:f>
        <x:v>17.954</x:v>
      </x:c>
    </x:row>
    <x:row r="14"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 t="str">
        <x:v>Total</x:v>
      </x:c>
      <x:c r="Q14" s="26" t="n">
        <x:f>SUM(Q2:Q13)</x:f>
        <x:v>331.325</x:v>
      </x:c>
    </x:row>
  </x:sheetData>
  <x:pageMargins left="0.7" right="0.7" top="0.75" bottom="0.75" header="0.3" footer="0.3"/>
</x:worksheet>
</file>